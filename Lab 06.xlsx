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xron2\Downloads\"/>
    </mc:Choice>
  </mc:AlternateContent>
  <xr:revisionPtr revIDLastSave="0" documentId="8_{F0A2059A-F735-490D-B1A7-0F930DF36C4F}" xr6:coauthVersionLast="47" xr6:coauthVersionMax="47" xr10:uidLastSave="{00000000-0000-0000-0000-000000000000}"/>
  <bookViews>
    <workbookView xWindow="-120" yWindow="-120" windowWidth="29040" windowHeight="15720" activeTab="3" xr2:uid="{B7F2B19C-34AD-4927-AF43-263BD4DCE959}"/>
  </bookViews>
  <sheets>
    <sheet name="Title" sheetId="1" r:id="rId1"/>
    <sheet name="Task 1" sheetId="2" r:id="rId2"/>
    <sheet name="Task 2" sheetId="3" r:id="rId3"/>
    <sheet name="Task 3" sheetId="4" r:id="rId4"/>
    <sheet name="Ice Core data" sheetId="5" r:id="rId5"/>
    <sheet name="Work" sheetId="6" r:id="rId6"/>
  </sheets>
  <externalReferences>
    <externalReference r:id="rId7"/>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4" l="1"/>
  <c r="K10" i="2"/>
  <c r="K8" i="2"/>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2" i="3"/>
  <c r="N13" i="2"/>
  <c r="N7" i="2"/>
  <c r="L3" i="2"/>
  <c r="L2" i="2"/>
  <c r="K3" i="2"/>
  <c r="K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2" i="2"/>
  <c r="B1" i="4"/>
  <c r="B1" i="3"/>
</calcChain>
</file>

<file path=xl/sharedStrings.xml><?xml version="1.0" encoding="utf-8"?>
<sst xmlns="http://schemas.openxmlformats.org/spreadsheetml/2006/main" count="53" uniqueCount="38">
  <si>
    <t>Name:</t>
  </si>
  <si>
    <t>Module:</t>
  </si>
  <si>
    <t>lab06</t>
  </si>
  <si>
    <t>Submitted:</t>
  </si>
  <si>
    <t>Returned:</t>
  </si>
  <si>
    <t>Task2:</t>
  </si>
  <si>
    <t>Ice core gas concentrations</t>
  </si>
  <si>
    <t>Task3:</t>
  </si>
  <si>
    <t>Ice core CO2 - temperature relationship</t>
  </si>
  <si>
    <t>Vostok Ice Core data</t>
  </si>
  <si>
    <t>Data source: http://eesc.columbia.edu/courses/ees/climate/labs/vostok/vostok.html</t>
  </si>
  <si>
    <t>depth(m)</t>
  </si>
  <si>
    <t>age_of_ice (ka)</t>
  </si>
  <si>
    <t>delta D (permille)</t>
  </si>
  <si>
    <t>dust (1e-9cm3g-1)</t>
  </si>
  <si>
    <t>age_of_gas (ka)</t>
  </si>
  <si>
    <t>CO2 (ppmv)</t>
  </si>
  <si>
    <t>CH4 (ppbv)</t>
  </si>
  <si>
    <t>Age of Ice</t>
  </si>
  <si>
    <t>Temperature</t>
  </si>
  <si>
    <t xml:space="preserve">Age of Ice </t>
  </si>
  <si>
    <t>Slope</t>
  </si>
  <si>
    <t>Beginning of the Ice age</t>
  </si>
  <si>
    <t>Ending of the Ice age</t>
  </si>
  <si>
    <t>SLOPE = change in Temperature/ change in Age of ICE</t>
  </si>
  <si>
    <t>1st point</t>
  </si>
  <si>
    <t>2nd Point</t>
  </si>
  <si>
    <t>1st Point</t>
  </si>
  <si>
    <t>Leon</t>
  </si>
  <si>
    <t>T</t>
  </si>
  <si>
    <t>Max</t>
  </si>
  <si>
    <t>Min</t>
  </si>
  <si>
    <t>Difference</t>
  </si>
  <si>
    <t>depth x</t>
  </si>
  <si>
    <t>diff y</t>
  </si>
  <si>
    <t>line graph</t>
  </si>
  <si>
    <t>Max: 291.71</t>
  </si>
  <si>
    <t>Min: 179.86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</si>
</sst>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0"/>
      <name val="Verdana"/>
      <family val="2"/>
    </font>
    <font>
      <b/>
      <i/>
      <sz val="10"/>
      <name val="Verdana"/>
      <family val="2"/>
    </font>
    <font>
      <b/>
      <sz val="14"/>
      <name val="Verdana"/>
      <family val="2"/>
    </font>
    <font>
      <sz val="10"/>
      <name val="Verdana"/>
      <family val="2"/>
    </font>
    <font>
      <b/>
      <sz val="12"/>
      <name val="Verdana"/>
      <family val="2"/>
    </font>
    <font>
      <b/>
      <sz val="10"/>
      <name val="Verdana"/>
      <family val="2"/>
    </font>
    <font>
      <b/>
      <sz val="11"/>
      <color theme="1"/>
      <name val="Aptos Narrow"/>
      <scheme val="minor"/>
    </font>
  </fonts>
  <fills count="4">
    <fill>
      <patternFill patternType="none"/>
    </fill>
    <fill>
      <patternFill patternType="gray125"/>
    </fill>
    <fill>
      <patternFill patternType="solid">
        <fgColor indexed="42"/>
        <bgColor indexed="64"/>
      </patternFill>
    </fill>
    <fill>
      <patternFill patternType="solid">
        <fgColor indexed="4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xf numFmtId="0" fontId="2" fillId="2" borderId="1" xfId="0" applyFont="1" applyFill="1" applyBorder="1"/>
    <xf numFmtId="0" fontId="2" fillId="2" borderId="1" xfId="0" applyFont="1" applyFill="1" applyBorder="1" applyAlignment="1">
      <alignment horizontal="left"/>
    </xf>
    <xf numFmtId="0" fontId="3" fillId="3" borderId="1" xfId="0" applyFont="1" applyFill="1" applyBorder="1" applyAlignment="1">
      <alignment horizontal="left" vertical="top"/>
    </xf>
    <xf numFmtId="0" fontId="4" fillId="3" borderId="1" xfId="0" applyFont="1" applyFill="1" applyBorder="1" applyAlignment="1">
      <alignment horizontal="left" vertical="top"/>
    </xf>
    <xf numFmtId="0" fontId="5" fillId="0" borderId="0" xfId="0" applyFont="1" applyAlignment="1">
      <alignment horizontal="center"/>
    </xf>
    <xf numFmtId="0" fontId="5" fillId="0" borderId="0" xfId="0" applyFont="1"/>
    <xf numFmtId="11" fontId="5" fillId="0" borderId="0" xfId="0" applyNumberFormat="1" applyFont="1"/>
    <xf numFmtId="0" fontId="1" fillId="2" borderId="2" xfId="0" applyFont="1" applyFill="1" applyBorder="1"/>
    <xf numFmtId="0" fontId="1" fillId="2" borderId="3" xfId="0" applyFont="1" applyFill="1" applyBorder="1"/>
    <xf numFmtId="0" fontId="1" fillId="0" borderId="0" xfId="0" applyFont="1"/>
    <xf numFmtId="49" fontId="4" fillId="0" borderId="0" xfId="0" applyNumberFormat="1" applyFont="1" applyAlignment="1">
      <alignment wrapText="1"/>
    </xf>
    <xf numFmtId="0" fontId="1" fillId="0" borderId="0" xfId="0" applyFont="1" applyAlignment="1">
      <alignment vertical="top" wrapText="1"/>
    </xf>
    <xf numFmtId="0" fontId="6" fillId="0" borderId="0" xfId="0" applyFont="1" applyAlignment="1">
      <alignment vertical="top" wrapText="1"/>
    </xf>
    <xf numFmtId="0" fontId="7" fillId="0" borderId="0" xfId="0" applyFont="1"/>
    <xf numFmtId="0" fontId="7"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of Ice Temperature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'Task 1'!$I$1</c:f>
              <c:strCache>
                <c:ptCount val="1"/>
                <c:pt idx="0">
                  <c:v>T</c:v>
                </c:pt>
              </c:strCache>
            </c:strRef>
          </c:tx>
          <c:spPr>
            <a:ln w="19050" cap="rnd">
              <a:solidFill>
                <a:schemeClr val="accent1"/>
              </a:solidFill>
              <a:round/>
            </a:ln>
            <a:effectLst/>
          </c:spPr>
          <c:marker>
            <c:symbol val="none"/>
          </c:marker>
          <c:xVal>
            <c:numRef>
              <c:f>'Task 1'!$G$2:$G$193</c:f>
              <c:numCache>
                <c:formatCode>General</c:formatCode>
                <c:ptCount val="192"/>
                <c:pt idx="0">
                  <c:v>5.0599999999999996</c:v>
                </c:pt>
                <c:pt idx="1">
                  <c:v>5.45</c:v>
                </c:pt>
                <c:pt idx="2">
                  <c:v>5.85</c:v>
                </c:pt>
                <c:pt idx="3">
                  <c:v>6.27</c:v>
                </c:pt>
                <c:pt idx="4">
                  <c:v>6.7</c:v>
                </c:pt>
                <c:pt idx="5">
                  <c:v>7.14</c:v>
                </c:pt>
                <c:pt idx="6">
                  <c:v>7.57</c:v>
                </c:pt>
                <c:pt idx="7">
                  <c:v>8.01</c:v>
                </c:pt>
                <c:pt idx="8">
                  <c:v>8.44</c:v>
                </c:pt>
                <c:pt idx="9">
                  <c:v>8.8699999999999992</c:v>
                </c:pt>
                <c:pt idx="10">
                  <c:v>9.31</c:v>
                </c:pt>
                <c:pt idx="11">
                  <c:v>9.76</c:v>
                </c:pt>
                <c:pt idx="12">
                  <c:v>10.24</c:v>
                </c:pt>
                <c:pt idx="13">
                  <c:v>10.74</c:v>
                </c:pt>
                <c:pt idx="14">
                  <c:v>11.24</c:v>
                </c:pt>
                <c:pt idx="15">
                  <c:v>11.74</c:v>
                </c:pt>
                <c:pt idx="16">
                  <c:v>12.32</c:v>
                </c:pt>
                <c:pt idx="17">
                  <c:v>12.94</c:v>
                </c:pt>
                <c:pt idx="18">
                  <c:v>13.55</c:v>
                </c:pt>
                <c:pt idx="19">
                  <c:v>14.17</c:v>
                </c:pt>
                <c:pt idx="20">
                  <c:v>14.78</c:v>
                </c:pt>
                <c:pt idx="21">
                  <c:v>15.39</c:v>
                </c:pt>
                <c:pt idx="22">
                  <c:v>16.010000000000002</c:v>
                </c:pt>
                <c:pt idx="23">
                  <c:v>16.690000000000001</c:v>
                </c:pt>
                <c:pt idx="24">
                  <c:v>17.48</c:v>
                </c:pt>
                <c:pt idx="25">
                  <c:v>18.260000000000002</c:v>
                </c:pt>
                <c:pt idx="26">
                  <c:v>19.05</c:v>
                </c:pt>
                <c:pt idx="27">
                  <c:v>19.829999999999998</c:v>
                </c:pt>
                <c:pt idx="28">
                  <c:v>20.63</c:v>
                </c:pt>
                <c:pt idx="29">
                  <c:v>21.45</c:v>
                </c:pt>
                <c:pt idx="30">
                  <c:v>22.28</c:v>
                </c:pt>
                <c:pt idx="31">
                  <c:v>23.11</c:v>
                </c:pt>
                <c:pt idx="32">
                  <c:v>23.93</c:v>
                </c:pt>
                <c:pt idx="33">
                  <c:v>24.76</c:v>
                </c:pt>
                <c:pt idx="34">
                  <c:v>25.6</c:v>
                </c:pt>
                <c:pt idx="35">
                  <c:v>26.43</c:v>
                </c:pt>
                <c:pt idx="36">
                  <c:v>27.27</c:v>
                </c:pt>
                <c:pt idx="37">
                  <c:v>28.1</c:v>
                </c:pt>
                <c:pt idx="38">
                  <c:v>28.93</c:v>
                </c:pt>
                <c:pt idx="39">
                  <c:v>29.74</c:v>
                </c:pt>
                <c:pt idx="40">
                  <c:v>30.56</c:v>
                </c:pt>
                <c:pt idx="41">
                  <c:v>31.38</c:v>
                </c:pt>
                <c:pt idx="42">
                  <c:v>32.19</c:v>
                </c:pt>
                <c:pt idx="43">
                  <c:v>33</c:v>
                </c:pt>
                <c:pt idx="44">
                  <c:v>33.79</c:v>
                </c:pt>
                <c:pt idx="45">
                  <c:v>34.590000000000003</c:v>
                </c:pt>
                <c:pt idx="46">
                  <c:v>35.369999999999997</c:v>
                </c:pt>
                <c:pt idx="47">
                  <c:v>36.159999999999997</c:v>
                </c:pt>
                <c:pt idx="48">
                  <c:v>36.94</c:v>
                </c:pt>
                <c:pt idx="49">
                  <c:v>37.71</c:v>
                </c:pt>
                <c:pt idx="50">
                  <c:v>38.479999999999997</c:v>
                </c:pt>
                <c:pt idx="51">
                  <c:v>39.24</c:v>
                </c:pt>
                <c:pt idx="52">
                  <c:v>40.01</c:v>
                </c:pt>
                <c:pt idx="53">
                  <c:v>40.770000000000003</c:v>
                </c:pt>
                <c:pt idx="54">
                  <c:v>41.53</c:v>
                </c:pt>
                <c:pt idx="55">
                  <c:v>42.3</c:v>
                </c:pt>
                <c:pt idx="56">
                  <c:v>43.06</c:v>
                </c:pt>
                <c:pt idx="57">
                  <c:v>43.82</c:v>
                </c:pt>
                <c:pt idx="58">
                  <c:v>44.58</c:v>
                </c:pt>
                <c:pt idx="59">
                  <c:v>45.34</c:v>
                </c:pt>
                <c:pt idx="60">
                  <c:v>46.1</c:v>
                </c:pt>
                <c:pt idx="61">
                  <c:v>46.85</c:v>
                </c:pt>
                <c:pt idx="62">
                  <c:v>47.61</c:v>
                </c:pt>
                <c:pt idx="63">
                  <c:v>48.36</c:v>
                </c:pt>
                <c:pt idx="64">
                  <c:v>49.1</c:v>
                </c:pt>
                <c:pt idx="65">
                  <c:v>49.85</c:v>
                </c:pt>
                <c:pt idx="66">
                  <c:v>50.6</c:v>
                </c:pt>
                <c:pt idx="67">
                  <c:v>51.34</c:v>
                </c:pt>
                <c:pt idx="68">
                  <c:v>52.09</c:v>
                </c:pt>
                <c:pt idx="69">
                  <c:v>52.84</c:v>
                </c:pt>
                <c:pt idx="70">
                  <c:v>53.58</c:v>
                </c:pt>
                <c:pt idx="71">
                  <c:v>54.35</c:v>
                </c:pt>
                <c:pt idx="72">
                  <c:v>55.12</c:v>
                </c:pt>
                <c:pt idx="73">
                  <c:v>55.9</c:v>
                </c:pt>
                <c:pt idx="74">
                  <c:v>56.69</c:v>
                </c:pt>
                <c:pt idx="75">
                  <c:v>57.49</c:v>
                </c:pt>
                <c:pt idx="76">
                  <c:v>58.3</c:v>
                </c:pt>
                <c:pt idx="77">
                  <c:v>59.11</c:v>
                </c:pt>
                <c:pt idx="78">
                  <c:v>59.94</c:v>
                </c:pt>
                <c:pt idx="79">
                  <c:v>60.78</c:v>
                </c:pt>
                <c:pt idx="80">
                  <c:v>61.63</c:v>
                </c:pt>
                <c:pt idx="81">
                  <c:v>62.5</c:v>
                </c:pt>
                <c:pt idx="82">
                  <c:v>63.38</c:v>
                </c:pt>
                <c:pt idx="83">
                  <c:v>64.260000000000005</c:v>
                </c:pt>
                <c:pt idx="84">
                  <c:v>65.13</c:v>
                </c:pt>
                <c:pt idx="85">
                  <c:v>66.010000000000005</c:v>
                </c:pt>
                <c:pt idx="86">
                  <c:v>66.88</c:v>
                </c:pt>
                <c:pt idx="87">
                  <c:v>67.739999999999995</c:v>
                </c:pt>
                <c:pt idx="88">
                  <c:v>68.59</c:v>
                </c:pt>
                <c:pt idx="89">
                  <c:v>69.430000000000007</c:v>
                </c:pt>
                <c:pt idx="90">
                  <c:v>70.27</c:v>
                </c:pt>
                <c:pt idx="91">
                  <c:v>71.099999999999994</c:v>
                </c:pt>
                <c:pt idx="92">
                  <c:v>71.930000000000007</c:v>
                </c:pt>
                <c:pt idx="93">
                  <c:v>72.75</c:v>
                </c:pt>
                <c:pt idx="94">
                  <c:v>73.569999999999993</c:v>
                </c:pt>
                <c:pt idx="95">
                  <c:v>74.39</c:v>
                </c:pt>
                <c:pt idx="96">
                  <c:v>75.19</c:v>
                </c:pt>
                <c:pt idx="97">
                  <c:v>75.989999999999995</c:v>
                </c:pt>
                <c:pt idx="98">
                  <c:v>76.790000000000006</c:v>
                </c:pt>
                <c:pt idx="99">
                  <c:v>77.58</c:v>
                </c:pt>
                <c:pt idx="100">
                  <c:v>78.37</c:v>
                </c:pt>
                <c:pt idx="101">
                  <c:v>79.150000000000006</c:v>
                </c:pt>
                <c:pt idx="102">
                  <c:v>79.930000000000007</c:v>
                </c:pt>
                <c:pt idx="103">
                  <c:v>80.7</c:v>
                </c:pt>
                <c:pt idx="104">
                  <c:v>81.47</c:v>
                </c:pt>
                <c:pt idx="105">
                  <c:v>82.24</c:v>
                </c:pt>
                <c:pt idx="106">
                  <c:v>83.01</c:v>
                </c:pt>
                <c:pt idx="107">
                  <c:v>83.78</c:v>
                </c:pt>
                <c:pt idx="108">
                  <c:v>84.55</c:v>
                </c:pt>
                <c:pt idx="109">
                  <c:v>85.33</c:v>
                </c:pt>
                <c:pt idx="110">
                  <c:v>86.1</c:v>
                </c:pt>
                <c:pt idx="111">
                  <c:v>86.88</c:v>
                </c:pt>
                <c:pt idx="112">
                  <c:v>87.65</c:v>
                </c:pt>
                <c:pt idx="113">
                  <c:v>88.43</c:v>
                </c:pt>
                <c:pt idx="114">
                  <c:v>89.21</c:v>
                </c:pt>
                <c:pt idx="115">
                  <c:v>89.99</c:v>
                </c:pt>
                <c:pt idx="116">
                  <c:v>90.78</c:v>
                </c:pt>
                <c:pt idx="117">
                  <c:v>91.56</c:v>
                </c:pt>
                <c:pt idx="118">
                  <c:v>92.35</c:v>
                </c:pt>
                <c:pt idx="119">
                  <c:v>93.15</c:v>
                </c:pt>
                <c:pt idx="120">
                  <c:v>93.94</c:v>
                </c:pt>
                <c:pt idx="121">
                  <c:v>94.73</c:v>
                </c:pt>
                <c:pt idx="122">
                  <c:v>95.53</c:v>
                </c:pt>
                <c:pt idx="123">
                  <c:v>96.33</c:v>
                </c:pt>
                <c:pt idx="124">
                  <c:v>97.13</c:v>
                </c:pt>
                <c:pt idx="125">
                  <c:v>97.93</c:v>
                </c:pt>
                <c:pt idx="126">
                  <c:v>98.74</c:v>
                </c:pt>
                <c:pt idx="127">
                  <c:v>99.55</c:v>
                </c:pt>
                <c:pt idx="128">
                  <c:v>100.38</c:v>
                </c:pt>
                <c:pt idx="129">
                  <c:v>101.23</c:v>
                </c:pt>
                <c:pt idx="130">
                  <c:v>102.08</c:v>
                </c:pt>
                <c:pt idx="131">
                  <c:v>102.97</c:v>
                </c:pt>
                <c:pt idx="132">
                  <c:v>103.87</c:v>
                </c:pt>
                <c:pt idx="133">
                  <c:v>104.78</c:v>
                </c:pt>
                <c:pt idx="134">
                  <c:v>105.71</c:v>
                </c:pt>
                <c:pt idx="135">
                  <c:v>106.65</c:v>
                </c:pt>
                <c:pt idx="136">
                  <c:v>107.64</c:v>
                </c:pt>
                <c:pt idx="137">
                  <c:v>108.62</c:v>
                </c:pt>
                <c:pt idx="138">
                  <c:v>109.6</c:v>
                </c:pt>
                <c:pt idx="139">
                  <c:v>110.57</c:v>
                </c:pt>
                <c:pt idx="140">
                  <c:v>111.53</c:v>
                </c:pt>
                <c:pt idx="141">
                  <c:v>112.45</c:v>
                </c:pt>
                <c:pt idx="142">
                  <c:v>113.37</c:v>
                </c:pt>
                <c:pt idx="143">
                  <c:v>114.27</c:v>
                </c:pt>
                <c:pt idx="144">
                  <c:v>115.15</c:v>
                </c:pt>
                <c:pt idx="145">
                  <c:v>116.02</c:v>
                </c:pt>
                <c:pt idx="146">
                  <c:v>116.85</c:v>
                </c:pt>
                <c:pt idx="147">
                  <c:v>117.68</c:v>
                </c:pt>
                <c:pt idx="148">
                  <c:v>118.5</c:v>
                </c:pt>
                <c:pt idx="149">
                  <c:v>119.29</c:v>
                </c:pt>
                <c:pt idx="150">
                  <c:v>120.09</c:v>
                </c:pt>
                <c:pt idx="151">
                  <c:v>120.85</c:v>
                </c:pt>
                <c:pt idx="152">
                  <c:v>121.61</c:v>
                </c:pt>
                <c:pt idx="153">
                  <c:v>122.36</c:v>
                </c:pt>
                <c:pt idx="154">
                  <c:v>123.1</c:v>
                </c:pt>
                <c:pt idx="155">
                  <c:v>123.83</c:v>
                </c:pt>
                <c:pt idx="156">
                  <c:v>124.54</c:v>
                </c:pt>
                <c:pt idx="157">
                  <c:v>125.25</c:v>
                </c:pt>
                <c:pt idx="158">
                  <c:v>125.95</c:v>
                </c:pt>
                <c:pt idx="159">
                  <c:v>126.65</c:v>
                </c:pt>
                <c:pt idx="160">
                  <c:v>127.34</c:v>
                </c:pt>
                <c:pt idx="161">
                  <c:v>128.04</c:v>
                </c:pt>
                <c:pt idx="162">
                  <c:v>128.74</c:v>
                </c:pt>
                <c:pt idx="163">
                  <c:v>129.44</c:v>
                </c:pt>
                <c:pt idx="164">
                  <c:v>130.15</c:v>
                </c:pt>
                <c:pt idx="165">
                  <c:v>130.86000000000001</c:v>
                </c:pt>
                <c:pt idx="166">
                  <c:v>131.57</c:v>
                </c:pt>
                <c:pt idx="167">
                  <c:v>132.29</c:v>
                </c:pt>
                <c:pt idx="168">
                  <c:v>133.01</c:v>
                </c:pt>
                <c:pt idx="169">
                  <c:v>133.74</c:v>
                </c:pt>
                <c:pt idx="170">
                  <c:v>134.47</c:v>
                </c:pt>
                <c:pt idx="171">
                  <c:v>135.24</c:v>
                </c:pt>
                <c:pt idx="172">
                  <c:v>136</c:v>
                </c:pt>
                <c:pt idx="173">
                  <c:v>136.80000000000001</c:v>
                </c:pt>
                <c:pt idx="174">
                  <c:v>137.63999999999999</c:v>
                </c:pt>
                <c:pt idx="175">
                  <c:v>138.49</c:v>
                </c:pt>
                <c:pt idx="176">
                  <c:v>139.43</c:v>
                </c:pt>
                <c:pt idx="177">
                  <c:v>140.4</c:v>
                </c:pt>
                <c:pt idx="178">
                  <c:v>141.38999999999999</c:v>
                </c:pt>
                <c:pt idx="179">
                  <c:v>142.49</c:v>
                </c:pt>
                <c:pt idx="180">
                  <c:v>143.61000000000001</c:v>
                </c:pt>
                <c:pt idx="181">
                  <c:v>144.88999999999999</c:v>
                </c:pt>
                <c:pt idx="182">
                  <c:v>146.18</c:v>
                </c:pt>
                <c:pt idx="183">
                  <c:v>147.58000000000001</c:v>
                </c:pt>
                <c:pt idx="184">
                  <c:v>149.11000000000001</c:v>
                </c:pt>
                <c:pt idx="185">
                  <c:v>150.66999999999999</c:v>
                </c:pt>
                <c:pt idx="186">
                  <c:v>152.35</c:v>
                </c:pt>
                <c:pt idx="187">
                  <c:v>154.02000000000001</c:v>
                </c:pt>
                <c:pt idx="188">
                  <c:v>155.69999999999999</c:v>
                </c:pt>
                <c:pt idx="189">
                  <c:v>157.38</c:v>
                </c:pt>
                <c:pt idx="190">
                  <c:v>159.05000000000001</c:v>
                </c:pt>
                <c:pt idx="191">
                  <c:v>160.72999999999999</c:v>
                </c:pt>
              </c:numCache>
            </c:numRef>
          </c:xVal>
          <c:yVal>
            <c:numRef>
              <c:f>'Task 1'!$I$2:$I$193</c:f>
              <c:numCache>
                <c:formatCode>General</c:formatCode>
                <c:ptCount val="192"/>
                <c:pt idx="0">
                  <c:v>-55.45333333333334</c:v>
                </c:pt>
                <c:pt idx="1">
                  <c:v>-55.813333333333333</c:v>
                </c:pt>
                <c:pt idx="2">
                  <c:v>-54.62833333333333</c:v>
                </c:pt>
                <c:pt idx="3">
                  <c:v>-55.56</c:v>
                </c:pt>
                <c:pt idx="4">
                  <c:v>-55.71</c:v>
                </c:pt>
                <c:pt idx="5">
                  <c:v>-52.808333333333337</c:v>
                </c:pt>
                <c:pt idx="6">
                  <c:v>-55.298333333333339</c:v>
                </c:pt>
                <c:pt idx="7">
                  <c:v>-55.323333333333331</c:v>
                </c:pt>
                <c:pt idx="8">
                  <c:v>-54.783333333333331</c:v>
                </c:pt>
                <c:pt idx="9">
                  <c:v>-54.553333333333335</c:v>
                </c:pt>
                <c:pt idx="10">
                  <c:v>-55.396666666666668</c:v>
                </c:pt>
                <c:pt idx="11">
                  <c:v>-54.773333333333333</c:v>
                </c:pt>
                <c:pt idx="12">
                  <c:v>-56.041666666666664</c:v>
                </c:pt>
                <c:pt idx="13">
                  <c:v>-57.851666666666667</c:v>
                </c:pt>
                <c:pt idx="14">
                  <c:v>-58.879999999999995</c:v>
                </c:pt>
                <c:pt idx="15">
                  <c:v>-58.593333333333334</c:v>
                </c:pt>
                <c:pt idx="16">
                  <c:v>-57.37166666666667</c:v>
                </c:pt>
                <c:pt idx="17">
                  <c:v>-59.156666666666666</c:v>
                </c:pt>
                <c:pt idx="18">
                  <c:v>-60.646666666666668</c:v>
                </c:pt>
                <c:pt idx="19">
                  <c:v>-61.636666666666663</c:v>
                </c:pt>
                <c:pt idx="20">
                  <c:v>-62.831666666666671</c:v>
                </c:pt>
                <c:pt idx="21">
                  <c:v>-63.761666666666663</c:v>
                </c:pt>
                <c:pt idx="22">
                  <c:v>-64.656666666666666</c:v>
                </c:pt>
                <c:pt idx="23">
                  <c:v>-63.66</c:v>
                </c:pt>
                <c:pt idx="24">
                  <c:v>-64.931666666666658</c:v>
                </c:pt>
                <c:pt idx="25">
                  <c:v>-64.41</c:v>
                </c:pt>
                <c:pt idx="26">
                  <c:v>-64.36666666666666</c:v>
                </c:pt>
                <c:pt idx="27">
                  <c:v>-65.271666666666661</c:v>
                </c:pt>
                <c:pt idx="28">
                  <c:v>-64.62</c:v>
                </c:pt>
                <c:pt idx="29">
                  <c:v>-64.765000000000001</c:v>
                </c:pt>
                <c:pt idx="30">
                  <c:v>-63.414999999999999</c:v>
                </c:pt>
                <c:pt idx="31">
                  <c:v>-63.9</c:v>
                </c:pt>
                <c:pt idx="32">
                  <c:v>-64.135000000000005</c:v>
                </c:pt>
                <c:pt idx="33">
                  <c:v>-64.989999999999995</c:v>
                </c:pt>
                <c:pt idx="34">
                  <c:v>-63.754999999999995</c:v>
                </c:pt>
                <c:pt idx="35">
                  <c:v>-62.948333333333331</c:v>
                </c:pt>
                <c:pt idx="36">
                  <c:v>-64.556666666666658</c:v>
                </c:pt>
                <c:pt idx="37">
                  <c:v>-63.586666666666666</c:v>
                </c:pt>
                <c:pt idx="38">
                  <c:v>-64.239999999999995</c:v>
                </c:pt>
                <c:pt idx="39">
                  <c:v>-63.018333333333338</c:v>
                </c:pt>
                <c:pt idx="40">
                  <c:v>-63.691666666666663</c:v>
                </c:pt>
                <c:pt idx="41">
                  <c:v>-62.754999999999995</c:v>
                </c:pt>
                <c:pt idx="42">
                  <c:v>-61.185000000000002</c:v>
                </c:pt>
                <c:pt idx="43">
                  <c:v>-61.601666666666667</c:v>
                </c:pt>
                <c:pt idx="44">
                  <c:v>-63.264999999999993</c:v>
                </c:pt>
                <c:pt idx="45">
                  <c:v>-62.851666666666667</c:v>
                </c:pt>
                <c:pt idx="46">
                  <c:v>-62.401666666666671</c:v>
                </c:pt>
                <c:pt idx="47">
                  <c:v>-62.761666666666663</c:v>
                </c:pt>
                <c:pt idx="48">
                  <c:v>-62.133333333333333</c:v>
                </c:pt>
                <c:pt idx="49">
                  <c:v>-62.343333333333334</c:v>
                </c:pt>
                <c:pt idx="50">
                  <c:v>-62.311666666666667</c:v>
                </c:pt>
                <c:pt idx="51">
                  <c:v>-60.76</c:v>
                </c:pt>
                <c:pt idx="52">
                  <c:v>-61.745000000000005</c:v>
                </c:pt>
                <c:pt idx="53">
                  <c:v>-61.448333333333331</c:v>
                </c:pt>
                <c:pt idx="54">
                  <c:v>-62.96</c:v>
                </c:pt>
                <c:pt idx="55">
                  <c:v>-62.705000000000005</c:v>
                </c:pt>
                <c:pt idx="56">
                  <c:v>-63.04666666666666</c:v>
                </c:pt>
                <c:pt idx="57">
                  <c:v>-62.741666666666667</c:v>
                </c:pt>
                <c:pt idx="58">
                  <c:v>-62.493333333333332</c:v>
                </c:pt>
                <c:pt idx="59">
                  <c:v>-61.955000000000005</c:v>
                </c:pt>
                <c:pt idx="60">
                  <c:v>-61.783333333333331</c:v>
                </c:pt>
                <c:pt idx="61">
                  <c:v>-61.501666666666665</c:v>
                </c:pt>
                <c:pt idx="62">
                  <c:v>-61.876666666666665</c:v>
                </c:pt>
                <c:pt idx="63">
                  <c:v>-61.4</c:v>
                </c:pt>
                <c:pt idx="64">
                  <c:v>-62.043333333333329</c:v>
                </c:pt>
                <c:pt idx="65">
                  <c:v>-61.31</c:v>
                </c:pt>
                <c:pt idx="66">
                  <c:v>-62.763333333333328</c:v>
                </c:pt>
                <c:pt idx="67">
                  <c:v>-62.305</c:v>
                </c:pt>
                <c:pt idx="68">
                  <c:v>-60.961666666666666</c:v>
                </c:pt>
                <c:pt idx="69">
                  <c:v>-60.186666666666667</c:v>
                </c:pt>
                <c:pt idx="70">
                  <c:v>-59.526666666666671</c:v>
                </c:pt>
                <c:pt idx="71">
                  <c:v>-60.72</c:v>
                </c:pt>
                <c:pt idx="72">
                  <c:v>-61.49666666666667</c:v>
                </c:pt>
                <c:pt idx="73">
                  <c:v>-61.37833333333333</c:v>
                </c:pt>
                <c:pt idx="74">
                  <c:v>-62.32</c:v>
                </c:pt>
                <c:pt idx="75">
                  <c:v>-62.981666666666662</c:v>
                </c:pt>
                <c:pt idx="76">
                  <c:v>-63.588333333333331</c:v>
                </c:pt>
                <c:pt idx="77">
                  <c:v>-62.32833333333334</c:v>
                </c:pt>
                <c:pt idx="78">
                  <c:v>-63.856666666666662</c:v>
                </c:pt>
                <c:pt idx="79">
                  <c:v>-64.101666666666674</c:v>
                </c:pt>
                <c:pt idx="80">
                  <c:v>-64.421666666666667</c:v>
                </c:pt>
                <c:pt idx="81">
                  <c:v>-63.455000000000005</c:v>
                </c:pt>
                <c:pt idx="82">
                  <c:v>-63.751666666666665</c:v>
                </c:pt>
                <c:pt idx="83">
                  <c:v>-62.104999999999997</c:v>
                </c:pt>
                <c:pt idx="84">
                  <c:v>-62.830000000000005</c:v>
                </c:pt>
                <c:pt idx="85">
                  <c:v>-62.733333333333327</c:v>
                </c:pt>
                <c:pt idx="86">
                  <c:v>-61.826666666666661</c:v>
                </c:pt>
                <c:pt idx="87">
                  <c:v>-62.771666666666668</c:v>
                </c:pt>
                <c:pt idx="88">
                  <c:v>-63.108333333333327</c:v>
                </c:pt>
                <c:pt idx="89">
                  <c:v>-62.96</c:v>
                </c:pt>
                <c:pt idx="90">
                  <c:v>-61.705000000000005</c:v>
                </c:pt>
                <c:pt idx="91">
                  <c:v>-60.358333333333327</c:v>
                </c:pt>
                <c:pt idx="92">
                  <c:v>-61.568333333333335</c:v>
                </c:pt>
                <c:pt idx="93">
                  <c:v>-63.236666666666672</c:v>
                </c:pt>
                <c:pt idx="94">
                  <c:v>-61.723333333333329</c:v>
                </c:pt>
                <c:pt idx="95">
                  <c:v>-62.46</c:v>
                </c:pt>
                <c:pt idx="96">
                  <c:v>-61.536666666666669</c:v>
                </c:pt>
                <c:pt idx="97">
                  <c:v>-60.063333333333333</c:v>
                </c:pt>
                <c:pt idx="98">
                  <c:v>-59.783333333333331</c:v>
                </c:pt>
                <c:pt idx="99">
                  <c:v>-59.123333333333335</c:v>
                </c:pt>
                <c:pt idx="100">
                  <c:v>-59.976666666666667</c:v>
                </c:pt>
                <c:pt idx="101">
                  <c:v>-59.195</c:v>
                </c:pt>
                <c:pt idx="102">
                  <c:v>-59.98</c:v>
                </c:pt>
                <c:pt idx="103">
                  <c:v>-59.241666666666667</c:v>
                </c:pt>
                <c:pt idx="104">
                  <c:v>-58.139999999999993</c:v>
                </c:pt>
                <c:pt idx="105">
                  <c:v>-59.055</c:v>
                </c:pt>
                <c:pt idx="106">
                  <c:v>-59.768333333333338</c:v>
                </c:pt>
                <c:pt idx="107">
                  <c:v>-60.233333333333327</c:v>
                </c:pt>
                <c:pt idx="108">
                  <c:v>-60.298333333333339</c:v>
                </c:pt>
                <c:pt idx="109">
                  <c:v>-59.858333333333327</c:v>
                </c:pt>
                <c:pt idx="110">
                  <c:v>-61.16</c:v>
                </c:pt>
                <c:pt idx="111">
                  <c:v>-62.12166666666667</c:v>
                </c:pt>
                <c:pt idx="112">
                  <c:v>-61.824999999999996</c:v>
                </c:pt>
                <c:pt idx="113">
                  <c:v>-60.54666666666666</c:v>
                </c:pt>
                <c:pt idx="114">
                  <c:v>-61.398333333333333</c:v>
                </c:pt>
                <c:pt idx="115">
                  <c:v>-60.695</c:v>
                </c:pt>
                <c:pt idx="116">
                  <c:v>-59.62833333333333</c:v>
                </c:pt>
                <c:pt idx="117">
                  <c:v>-60.733333333333327</c:v>
                </c:pt>
                <c:pt idx="118">
                  <c:v>-60.473333333333329</c:v>
                </c:pt>
                <c:pt idx="119">
                  <c:v>-59.928333333333335</c:v>
                </c:pt>
                <c:pt idx="120">
                  <c:v>-60.245000000000005</c:v>
                </c:pt>
                <c:pt idx="121">
                  <c:v>-60.833333333333336</c:v>
                </c:pt>
                <c:pt idx="122">
                  <c:v>-60.57</c:v>
                </c:pt>
                <c:pt idx="123">
                  <c:v>-59.615000000000002</c:v>
                </c:pt>
                <c:pt idx="124">
                  <c:v>-59.805</c:v>
                </c:pt>
                <c:pt idx="125">
                  <c:v>-59.74666666666667</c:v>
                </c:pt>
                <c:pt idx="126">
                  <c:v>-59.361666666666672</c:v>
                </c:pt>
                <c:pt idx="127">
                  <c:v>-58.781666666666666</c:v>
                </c:pt>
                <c:pt idx="128">
                  <c:v>-58.373333333333335</c:v>
                </c:pt>
                <c:pt idx="129">
                  <c:v>-58.981666666666662</c:v>
                </c:pt>
                <c:pt idx="130">
                  <c:v>-60.183333333333337</c:v>
                </c:pt>
                <c:pt idx="131">
                  <c:v>-59.908333333333331</c:v>
                </c:pt>
                <c:pt idx="132">
                  <c:v>-60.405000000000001</c:v>
                </c:pt>
                <c:pt idx="133">
                  <c:v>-59.988333333333337</c:v>
                </c:pt>
                <c:pt idx="134">
                  <c:v>-60.29</c:v>
                </c:pt>
                <c:pt idx="135">
                  <c:v>-60.351666666666667</c:v>
                </c:pt>
                <c:pt idx="136">
                  <c:v>-62.861666666666672</c:v>
                </c:pt>
                <c:pt idx="137">
                  <c:v>-62.42166666666666</c:v>
                </c:pt>
                <c:pt idx="138">
                  <c:v>-62.104999999999997</c:v>
                </c:pt>
                <c:pt idx="139">
                  <c:v>-61.566666666666663</c:v>
                </c:pt>
                <c:pt idx="140">
                  <c:v>-61.963333333333331</c:v>
                </c:pt>
                <c:pt idx="141">
                  <c:v>-62.298333333333339</c:v>
                </c:pt>
                <c:pt idx="142">
                  <c:v>-62.106666666666662</c:v>
                </c:pt>
                <c:pt idx="143">
                  <c:v>-61.156666666666666</c:v>
                </c:pt>
                <c:pt idx="144">
                  <c:v>-60.216666666666669</c:v>
                </c:pt>
                <c:pt idx="145">
                  <c:v>-60.178333333333335</c:v>
                </c:pt>
                <c:pt idx="146">
                  <c:v>-58.893333333333338</c:v>
                </c:pt>
                <c:pt idx="147">
                  <c:v>-58.548333333333339</c:v>
                </c:pt>
                <c:pt idx="148">
                  <c:v>-57.435000000000002</c:v>
                </c:pt>
                <c:pt idx="149">
                  <c:v>-57.50333333333333</c:v>
                </c:pt>
                <c:pt idx="150">
                  <c:v>-56.983333333333327</c:v>
                </c:pt>
                <c:pt idx="151">
                  <c:v>-56.801666666666669</c:v>
                </c:pt>
                <c:pt idx="152">
                  <c:v>-56.85</c:v>
                </c:pt>
                <c:pt idx="153">
                  <c:v>-56.695</c:v>
                </c:pt>
                <c:pt idx="154">
                  <c:v>-55.818333333333335</c:v>
                </c:pt>
                <c:pt idx="155">
                  <c:v>-55.971666666666664</c:v>
                </c:pt>
                <c:pt idx="156">
                  <c:v>-54.933333333333337</c:v>
                </c:pt>
                <c:pt idx="157">
                  <c:v>-55.261666666666663</c:v>
                </c:pt>
                <c:pt idx="158">
                  <c:v>-56.048333333333339</c:v>
                </c:pt>
                <c:pt idx="159">
                  <c:v>-55.388333333333328</c:v>
                </c:pt>
                <c:pt idx="160">
                  <c:v>-54.618333333333332</c:v>
                </c:pt>
                <c:pt idx="161">
                  <c:v>-54.925000000000004</c:v>
                </c:pt>
                <c:pt idx="162">
                  <c:v>-54.678333333333335</c:v>
                </c:pt>
                <c:pt idx="163">
                  <c:v>-55.011666666666663</c:v>
                </c:pt>
                <c:pt idx="164">
                  <c:v>-54.721666666666664</c:v>
                </c:pt>
                <c:pt idx="165">
                  <c:v>-53.843333333333334</c:v>
                </c:pt>
                <c:pt idx="166">
                  <c:v>-53.09</c:v>
                </c:pt>
                <c:pt idx="167">
                  <c:v>-53.358333333333327</c:v>
                </c:pt>
                <c:pt idx="168">
                  <c:v>-52.330000000000005</c:v>
                </c:pt>
                <c:pt idx="169">
                  <c:v>-53.585000000000001</c:v>
                </c:pt>
                <c:pt idx="170">
                  <c:v>-55.648333333333333</c:v>
                </c:pt>
                <c:pt idx="171">
                  <c:v>-53.906666666666666</c:v>
                </c:pt>
                <c:pt idx="172">
                  <c:v>-55.034999999999997</c:v>
                </c:pt>
                <c:pt idx="173">
                  <c:v>-55.943333333333335</c:v>
                </c:pt>
                <c:pt idx="174">
                  <c:v>-57.925000000000004</c:v>
                </c:pt>
                <c:pt idx="175">
                  <c:v>-58.29</c:v>
                </c:pt>
                <c:pt idx="176">
                  <c:v>-59.506666666666668</c:v>
                </c:pt>
                <c:pt idx="177">
                  <c:v>-61.113333333333337</c:v>
                </c:pt>
                <c:pt idx="178">
                  <c:v>-62.844999999999999</c:v>
                </c:pt>
                <c:pt idx="179">
                  <c:v>-63.306666666666665</c:v>
                </c:pt>
                <c:pt idx="180">
                  <c:v>-63.055</c:v>
                </c:pt>
                <c:pt idx="181">
                  <c:v>-64.95</c:v>
                </c:pt>
                <c:pt idx="182">
                  <c:v>-64.898333333333326</c:v>
                </c:pt>
                <c:pt idx="183">
                  <c:v>-63.914999999999999</c:v>
                </c:pt>
                <c:pt idx="184">
                  <c:v>-64.166666666666671</c:v>
                </c:pt>
                <c:pt idx="185">
                  <c:v>-63.918333333333329</c:v>
                </c:pt>
                <c:pt idx="186">
                  <c:v>-64.788333333333341</c:v>
                </c:pt>
                <c:pt idx="187">
                  <c:v>-63.966666666666669</c:v>
                </c:pt>
                <c:pt idx="188">
                  <c:v>-64.678333333333327</c:v>
                </c:pt>
                <c:pt idx="189">
                  <c:v>-64.179999999999993</c:v>
                </c:pt>
                <c:pt idx="190">
                  <c:v>-64.923333333333332</c:v>
                </c:pt>
                <c:pt idx="191">
                  <c:v>-64.208333333333329</c:v>
                </c:pt>
              </c:numCache>
            </c:numRef>
          </c:yVal>
          <c:smooth val="1"/>
          <c:extLst>
            <c:ext xmlns:c16="http://schemas.microsoft.com/office/drawing/2014/chart" uri="{C3380CC4-5D6E-409C-BE32-E72D297353CC}">
              <c16:uniqueId val="{00000000-2793-4943-AB05-68D07BFEFCF6}"/>
            </c:ext>
          </c:extLst>
        </c:ser>
        <c:dLbls>
          <c:showLegendKey val="0"/>
          <c:showVal val="0"/>
          <c:showCatName val="0"/>
          <c:showSerName val="0"/>
          <c:showPercent val="0"/>
          <c:showBubbleSize val="0"/>
        </c:dLbls>
        <c:axId val="104752688"/>
        <c:axId val="2101650543"/>
      </c:scatterChart>
      <c:valAx>
        <c:axId val="104752688"/>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of Ice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50543"/>
        <c:crossesAt val="-80"/>
        <c:crossBetween val="midCat"/>
      </c:valAx>
      <c:valAx>
        <c:axId val="2101650543"/>
        <c:scaling>
          <c:orientation val="minMax"/>
          <c:max val="-5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Temperature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526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of ice and age of gas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'Task 2'!$D$1</c:f>
              <c:strCache>
                <c:ptCount val="1"/>
                <c:pt idx="0">
                  <c:v>age_of_ice (ka)</c:v>
                </c:pt>
              </c:strCache>
            </c:strRef>
          </c:tx>
          <c:spPr>
            <a:ln w="19050" cap="rnd">
              <a:solidFill>
                <a:schemeClr val="accent1"/>
              </a:solidFill>
              <a:round/>
            </a:ln>
            <a:effectLst/>
          </c:spPr>
          <c:marker>
            <c:symbol val="none"/>
          </c:marker>
          <c:xVal>
            <c:numRef>
              <c:f>'Task 2'!$C$2:$C$193</c:f>
              <c:numCache>
                <c:formatCode>General</c:formatCode>
                <c:ptCount val="192"/>
                <c:pt idx="0">
                  <c:v>150</c:v>
                </c:pt>
                <c:pt idx="1">
                  <c:v>160</c:v>
                </c:pt>
                <c:pt idx="2">
                  <c:v>170</c:v>
                </c:pt>
                <c:pt idx="3">
                  <c:v>180</c:v>
                </c:pt>
                <c:pt idx="4">
                  <c:v>190</c:v>
                </c:pt>
                <c:pt idx="5">
                  <c:v>200</c:v>
                </c:pt>
                <c:pt idx="6">
                  <c:v>210</c:v>
                </c:pt>
                <c:pt idx="7">
                  <c:v>220</c:v>
                </c:pt>
                <c:pt idx="8">
                  <c:v>230</c:v>
                </c:pt>
                <c:pt idx="9">
                  <c:v>240</c:v>
                </c:pt>
                <c:pt idx="10">
                  <c:v>250</c:v>
                </c:pt>
                <c:pt idx="11">
                  <c:v>260</c:v>
                </c:pt>
                <c:pt idx="12">
                  <c:v>270</c:v>
                </c:pt>
                <c:pt idx="13">
                  <c:v>280</c:v>
                </c:pt>
                <c:pt idx="14">
                  <c:v>290</c:v>
                </c:pt>
                <c:pt idx="15">
                  <c:v>300</c:v>
                </c:pt>
                <c:pt idx="16">
                  <c:v>310</c:v>
                </c:pt>
                <c:pt idx="17">
                  <c:v>320</c:v>
                </c:pt>
                <c:pt idx="18">
                  <c:v>330</c:v>
                </c:pt>
                <c:pt idx="19">
                  <c:v>340</c:v>
                </c:pt>
                <c:pt idx="20">
                  <c:v>350</c:v>
                </c:pt>
                <c:pt idx="21">
                  <c:v>360</c:v>
                </c:pt>
                <c:pt idx="22">
                  <c:v>370</c:v>
                </c:pt>
                <c:pt idx="23">
                  <c:v>380</c:v>
                </c:pt>
                <c:pt idx="24">
                  <c:v>390</c:v>
                </c:pt>
                <c:pt idx="25">
                  <c:v>400</c:v>
                </c:pt>
                <c:pt idx="26">
                  <c:v>410</c:v>
                </c:pt>
                <c:pt idx="27">
                  <c:v>420</c:v>
                </c:pt>
                <c:pt idx="28">
                  <c:v>430</c:v>
                </c:pt>
                <c:pt idx="29">
                  <c:v>440</c:v>
                </c:pt>
                <c:pt idx="30">
                  <c:v>450</c:v>
                </c:pt>
                <c:pt idx="31">
                  <c:v>460</c:v>
                </c:pt>
                <c:pt idx="32">
                  <c:v>470</c:v>
                </c:pt>
                <c:pt idx="33">
                  <c:v>480</c:v>
                </c:pt>
                <c:pt idx="34">
                  <c:v>490</c:v>
                </c:pt>
                <c:pt idx="35">
                  <c:v>500</c:v>
                </c:pt>
                <c:pt idx="36">
                  <c:v>510</c:v>
                </c:pt>
                <c:pt idx="37">
                  <c:v>520</c:v>
                </c:pt>
                <c:pt idx="38">
                  <c:v>530</c:v>
                </c:pt>
                <c:pt idx="39">
                  <c:v>540</c:v>
                </c:pt>
                <c:pt idx="40">
                  <c:v>550</c:v>
                </c:pt>
                <c:pt idx="41">
                  <c:v>560</c:v>
                </c:pt>
                <c:pt idx="42">
                  <c:v>570</c:v>
                </c:pt>
                <c:pt idx="43">
                  <c:v>580</c:v>
                </c:pt>
                <c:pt idx="44">
                  <c:v>590</c:v>
                </c:pt>
                <c:pt idx="45">
                  <c:v>600</c:v>
                </c:pt>
                <c:pt idx="46">
                  <c:v>610</c:v>
                </c:pt>
                <c:pt idx="47">
                  <c:v>620</c:v>
                </c:pt>
                <c:pt idx="48">
                  <c:v>630</c:v>
                </c:pt>
                <c:pt idx="49">
                  <c:v>640</c:v>
                </c:pt>
                <c:pt idx="50">
                  <c:v>650</c:v>
                </c:pt>
                <c:pt idx="51">
                  <c:v>660</c:v>
                </c:pt>
                <c:pt idx="52">
                  <c:v>670</c:v>
                </c:pt>
                <c:pt idx="53">
                  <c:v>680</c:v>
                </c:pt>
                <c:pt idx="54">
                  <c:v>690</c:v>
                </c:pt>
                <c:pt idx="55">
                  <c:v>700</c:v>
                </c:pt>
                <c:pt idx="56">
                  <c:v>710</c:v>
                </c:pt>
                <c:pt idx="57">
                  <c:v>720</c:v>
                </c:pt>
                <c:pt idx="58">
                  <c:v>730</c:v>
                </c:pt>
                <c:pt idx="59">
                  <c:v>740</c:v>
                </c:pt>
                <c:pt idx="60">
                  <c:v>750</c:v>
                </c:pt>
                <c:pt idx="61">
                  <c:v>760</c:v>
                </c:pt>
                <c:pt idx="62">
                  <c:v>770</c:v>
                </c:pt>
                <c:pt idx="63">
                  <c:v>780</c:v>
                </c:pt>
                <c:pt idx="64">
                  <c:v>790</c:v>
                </c:pt>
                <c:pt idx="65">
                  <c:v>800</c:v>
                </c:pt>
                <c:pt idx="66">
                  <c:v>810</c:v>
                </c:pt>
                <c:pt idx="67">
                  <c:v>820</c:v>
                </c:pt>
                <c:pt idx="68">
                  <c:v>830</c:v>
                </c:pt>
                <c:pt idx="69">
                  <c:v>840</c:v>
                </c:pt>
                <c:pt idx="70">
                  <c:v>850</c:v>
                </c:pt>
                <c:pt idx="71">
                  <c:v>860</c:v>
                </c:pt>
                <c:pt idx="72">
                  <c:v>870</c:v>
                </c:pt>
                <c:pt idx="73">
                  <c:v>880</c:v>
                </c:pt>
                <c:pt idx="74">
                  <c:v>890</c:v>
                </c:pt>
                <c:pt idx="75">
                  <c:v>900</c:v>
                </c:pt>
                <c:pt idx="76">
                  <c:v>910</c:v>
                </c:pt>
                <c:pt idx="77">
                  <c:v>920</c:v>
                </c:pt>
                <c:pt idx="78">
                  <c:v>930</c:v>
                </c:pt>
                <c:pt idx="79">
                  <c:v>940</c:v>
                </c:pt>
                <c:pt idx="80">
                  <c:v>950</c:v>
                </c:pt>
                <c:pt idx="81">
                  <c:v>960</c:v>
                </c:pt>
                <c:pt idx="82">
                  <c:v>970</c:v>
                </c:pt>
                <c:pt idx="83">
                  <c:v>980</c:v>
                </c:pt>
                <c:pt idx="84">
                  <c:v>990</c:v>
                </c:pt>
                <c:pt idx="85">
                  <c:v>1000</c:v>
                </c:pt>
                <c:pt idx="86">
                  <c:v>1010</c:v>
                </c:pt>
                <c:pt idx="87">
                  <c:v>1020</c:v>
                </c:pt>
                <c:pt idx="88">
                  <c:v>1030</c:v>
                </c:pt>
                <c:pt idx="89">
                  <c:v>1040</c:v>
                </c:pt>
                <c:pt idx="90">
                  <c:v>1050</c:v>
                </c:pt>
                <c:pt idx="91">
                  <c:v>1060</c:v>
                </c:pt>
                <c:pt idx="92">
                  <c:v>1070</c:v>
                </c:pt>
                <c:pt idx="93">
                  <c:v>1080</c:v>
                </c:pt>
                <c:pt idx="94">
                  <c:v>1090</c:v>
                </c:pt>
                <c:pt idx="95">
                  <c:v>1100</c:v>
                </c:pt>
                <c:pt idx="96">
                  <c:v>1110</c:v>
                </c:pt>
                <c:pt idx="97">
                  <c:v>1120</c:v>
                </c:pt>
                <c:pt idx="98">
                  <c:v>1130</c:v>
                </c:pt>
                <c:pt idx="99">
                  <c:v>1140</c:v>
                </c:pt>
                <c:pt idx="100">
                  <c:v>1150</c:v>
                </c:pt>
                <c:pt idx="101">
                  <c:v>1160</c:v>
                </c:pt>
                <c:pt idx="102">
                  <c:v>1170</c:v>
                </c:pt>
                <c:pt idx="103">
                  <c:v>1180</c:v>
                </c:pt>
                <c:pt idx="104">
                  <c:v>1190</c:v>
                </c:pt>
                <c:pt idx="105">
                  <c:v>1200</c:v>
                </c:pt>
                <c:pt idx="106">
                  <c:v>1210</c:v>
                </c:pt>
                <c:pt idx="107">
                  <c:v>1220</c:v>
                </c:pt>
                <c:pt idx="108">
                  <c:v>1230</c:v>
                </c:pt>
                <c:pt idx="109">
                  <c:v>1240</c:v>
                </c:pt>
                <c:pt idx="110">
                  <c:v>1250</c:v>
                </c:pt>
                <c:pt idx="111">
                  <c:v>1260</c:v>
                </c:pt>
                <c:pt idx="112">
                  <c:v>1270</c:v>
                </c:pt>
                <c:pt idx="113">
                  <c:v>1280</c:v>
                </c:pt>
                <c:pt idx="114">
                  <c:v>1290</c:v>
                </c:pt>
                <c:pt idx="115">
                  <c:v>1300</c:v>
                </c:pt>
                <c:pt idx="116">
                  <c:v>1310</c:v>
                </c:pt>
                <c:pt idx="117">
                  <c:v>1320</c:v>
                </c:pt>
                <c:pt idx="118">
                  <c:v>1330</c:v>
                </c:pt>
                <c:pt idx="119">
                  <c:v>1340</c:v>
                </c:pt>
                <c:pt idx="120">
                  <c:v>1350</c:v>
                </c:pt>
                <c:pt idx="121">
                  <c:v>1360</c:v>
                </c:pt>
                <c:pt idx="122">
                  <c:v>1370</c:v>
                </c:pt>
                <c:pt idx="123">
                  <c:v>1380</c:v>
                </c:pt>
                <c:pt idx="124">
                  <c:v>1390</c:v>
                </c:pt>
                <c:pt idx="125">
                  <c:v>1400</c:v>
                </c:pt>
                <c:pt idx="126">
                  <c:v>1410</c:v>
                </c:pt>
                <c:pt idx="127">
                  <c:v>1420</c:v>
                </c:pt>
                <c:pt idx="128">
                  <c:v>1430</c:v>
                </c:pt>
                <c:pt idx="129">
                  <c:v>1440</c:v>
                </c:pt>
                <c:pt idx="130">
                  <c:v>1450</c:v>
                </c:pt>
                <c:pt idx="131">
                  <c:v>1460</c:v>
                </c:pt>
                <c:pt idx="132">
                  <c:v>1470</c:v>
                </c:pt>
                <c:pt idx="133">
                  <c:v>1480</c:v>
                </c:pt>
                <c:pt idx="134">
                  <c:v>1490</c:v>
                </c:pt>
                <c:pt idx="135">
                  <c:v>1500</c:v>
                </c:pt>
                <c:pt idx="136">
                  <c:v>1510</c:v>
                </c:pt>
                <c:pt idx="137">
                  <c:v>1520</c:v>
                </c:pt>
                <c:pt idx="138">
                  <c:v>1530</c:v>
                </c:pt>
                <c:pt idx="139">
                  <c:v>1540</c:v>
                </c:pt>
                <c:pt idx="140">
                  <c:v>1550</c:v>
                </c:pt>
                <c:pt idx="141">
                  <c:v>1560</c:v>
                </c:pt>
                <c:pt idx="142">
                  <c:v>1570</c:v>
                </c:pt>
                <c:pt idx="143">
                  <c:v>1580</c:v>
                </c:pt>
                <c:pt idx="144">
                  <c:v>1590</c:v>
                </c:pt>
                <c:pt idx="145">
                  <c:v>1600</c:v>
                </c:pt>
                <c:pt idx="146">
                  <c:v>1610</c:v>
                </c:pt>
                <c:pt idx="147">
                  <c:v>1620</c:v>
                </c:pt>
                <c:pt idx="148">
                  <c:v>1630</c:v>
                </c:pt>
                <c:pt idx="149">
                  <c:v>1640</c:v>
                </c:pt>
                <c:pt idx="150">
                  <c:v>1650</c:v>
                </c:pt>
                <c:pt idx="151">
                  <c:v>1660</c:v>
                </c:pt>
                <c:pt idx="152">
                  <c:v>1670</c:v>
                </c:pt>
                <c:pt idx="153">
                  <c:v>1680</c:v>
                </c:pt>
                <c:pt idx="154">
                  <c:v>1690</c:v>
                </c:pt>
                <c:pt idx="155">
                  <c:v>1700</c:v>
                </c:pt>
                <c:pt idx="156">
                  <c:v>1710</c:v>
                </c:pt>
                <c:pt idx="157">
                  <c:v>1720</c:v>
                </c:pt>
                <c:pt idx="158">
                  <c:v>1730</c:v>
                </c:pt>
                <c:pt idx="159">
                  <c:v>1740</c:v>
                </c:pt>
                <c:pt idx="160">
                  <c:v>1750</c:v>
                </c:pt>
                <c:pt idx="161">
                  <c:v>1760</c:v>
                </c:pt>
                <c:pt idx="162">
                  <c:v>1770</c:v>
                </c:pt>
                <c:pt idx="163">
                  <c:v>1780</c:v>
                </c:pt>
                <c:pt idx="164">
                  <c:v>1790</c:v>
                </c:pt>
                <c:pt idx="165">
                  <c:v>1800</c:v>
                </c:pt>
                <c:pt idx="166">
                  <c:v>1810</c:v>
                </c:pt>
                <c:pt idx="167">
                  <c:v>1820</c:v>
                </c:pt>
                <c:pt idx="168">
                  <c:v>1830</c:v>
                </c:pt>
                <c:pt idx="169">
                  <c:v>1840</c:v>
                </c:pt>
                <c:pt idx="170">
                  <c:v>1850</c:v>
                </c:pt>
                <c:pt idx="171">
                  <c:v>1860</c:v>
                </c:pt>
                <c:pt idx="172">
                  <c:v>1870</c:v>
                </c:pt>
                <c:pt idx="173">
                  <c:v>1880</c:v>
                </c:pt>
                <c:pt idx="174">
                  <c:v>1890</c:v>
                </c:pt>
                <c:pt idx="175">
                  <c:v>1900</c:v>
                </c:pt>
                <c:pt idx="176">
                  <c:v>1910</c:v>
                </c:pt>
                <c:pt idx="177">
                  <c:v>1920</c:v>
                </c:pt>
                <c:pt idx="178">
                  <c:v>1930</c:v>
                </c:pt>
                <c:pt idx="179">
                  <c:v>1940</c:v>
                </c:pt>
                <c:pt idx="180">
                  <c:v>1950</c:v>
                </c:pt>
                <c:pt idx="181">
                  <c:v>1960</c:v>
                </c:pt>
                <c:pt idx="182">
                  <c:v>1970</c:v>
                </c:pt>
                <c:pt idx="183">
                  <c:v>1980</c:v>
                </c:pt>
                <c:pt idx="184">
                  <c:v>1990</c:v>
                </c:pt>
                <c:pt idx="185">
                  <c:v>2000</c:v>
                </c:pt>
                <c:pt idx="186">
                  <c:v>2010</c:v>
                </c:pt>
                <c:pt idx="187">
                  <c:v>2020</c:v>
                </c:pt>
                <c:pt idx="188">
                  <c:v>2030</c:v>
                </c:pt>
                <c:pt idx="189">
                  <c:v>2040</c:v>
                </c:pt>
                <c:pt idx="190">
                  <c:v>2050</c:v>
                </c:pt>
                <c:pt idx="191">
                  <c:v>2060</c:v>
                </c:pt>
              </c:numCache>
            </c:numRef>
          </c:xVal>
          <c:yVal>
            <c:numRef>
              <c:f>'Task 2'!$D$2:$D$193</c:f>
              <c:numCache>
                <c:formatCode>General</c:formatCode>
                <c:ptCount val="192"/>
                <c:pt idx="0">
                  <c:v>5.0599999999999996</c:v>
                </c:pt>
                <c:pt idx="1">
                  <c:v>5.45</c:v>
                </c:pt>
                <c:pt idx="2">
                  <c:v>5.85</c:v>
                </c:pt>
                <c:pt idx="3">
                  <c:v>6.27</c:v>
                </c:pt>
                <c:pt idx="4">
                  <c:v>6.7</c:v>
                </c:pt>
                <c:pt idx="5">
                  <c:v>7.14</c:v>
                </c:pt>
                <c:pt idx="6">
                  <c:v>7.57</c:v>
                </c:pt>
                <c:pt idx="7">
                  <c:v>8.01</c:v>
                </c:pt>
                <c:pt idx="8">
                  <c:v>8.44</c:v>
                </c:pt>
                <c:pt idx="9">
                  <c:v>8.8699999999999992</c:v>
                </c:pt>
                <c:pt idx="10">
                  <c:v>9.31</c:v>
                </c:pt>
                <c:pt idx="11">
                  <c:v>9.76</c:v>
                </c:pt>
                <c:pt idx="12">
                  <c:v>10.24</c:v>
                </c:pt>
                <c:pt idx="13">
                  <c:v>10.74</c:v>
                </c:pt>
                <c:pt idx="14">
                  <c:v>11.24</c:v>
                </c:pt>
                <c:pt idx="15">
                  <c:v>11.74</c:v>
                </c:pt>
                <c:pt idx="16">
                  <c:v>12.32</c:v>
                </c:pt>
                <c:pt idx="17">
                  <c:v>12.94</c:v>
                </c:pt>
                <c:pt idx="18">
                  <c:v>13.55</c:v>
                </c:pt>
                <c:pt idx="19">
                  <c:v>14.17</c:v>
                </c:pt>
                <c:pt idx="20">
                  <c:v>14.78</c:v>
                </c:pt>
                <c:pt idx="21">
                  <c:v>15.39</c:v>
                </c:pt>
                <c:pt idx="22">
                  <c:v>16.010000000000002</c:v>
                </c:pt>
                <c:pt idx="23">
                  <c:v>16.690000000000001</c:v>
                </c:pt>
                <c:pt idx="24">
                  <c:v>17.48</c:v>
                </c:pt>
                <c:pt idx="25">
                  <c:v>18.260000000000002</c:v>
                </c:pt>
                <c:pt idx="26">
                  <c:v>19.05</c:v>
                </c:pt>
                <c:pt idx="27">
                  <c:v>19.829999999999998</c:v>
                </c:pt>
                <c:pt idx="28">
                  <c:v>20.63</c:v>
                </c:pt>
                <c:pt idx="29">
                  <c:v>21.45</c:v>
                </c:pt>
                <c:pt idx="30">
                  <c:v>22.28</c:v>
                </c:pt>
                <c:pt idx="31">
                  <c:v>23.11</c:v>
                </c:pt>
                <c:pt idx="32">
                  <c:v>23.93</c:v>
                </c:pt>
                <c:pt idx="33">
                  <c:v>24.76</c:v>
                </c:pt>
                <c:pt idx="34">
                  <c:v>25.6</c:v>
                </c:pt>
                <c:pt idx="35">
                  <c:v>26.43</c:v>
                </c:pt>
                <c:pt idx="36">
                  <c:v>27.27</c:v>
                </c:pt>
                <c:pt idx="37">
                  <c:v>28.1</c:v>
                </c:pt>
                <c:pt idx="38">
                  <c:v>28.93</c:v>
                </c:pt>
                <c:pt idx="39">
                  <c:v>29.74</c:v>
                </c:pt>
                <c:pt idx="40">
                  <c:v>30.56</c:v>
                </c:pt>
                <c:pt idx="41">
                  <c:v>31.38</c:v>
                </c:pt>
                <c:pt idx="42">
                  <c:v>32.19</c:v>
                </c:pt>
                <c:pt idx="43">
                  <c:v>33</c:v>
                </c:pt>
                <c:pt idx="44">
                  <c:v>33.79</c:v>
                </c:pt>
                <c:pt idx="45">
                  <c:v>34.590000000000003</c:v>
                </c:pt>
                <c:pt idx="46">
                  <c:v>35.369999999999997</c:v>
                </c:pt>
                <c:pt idx="47">
                  <c:v>36.159999999999997</c:v>
                </c:pt>
                <c:pt idx="48">
                  <c:v>36.94</c:v>
                </c:pt>
                <c:pt idx="49">
                  <c:v>37.71</c:v>
                </c:pt>
                <c:pt idx="50">
                  <c:v>38.479999999999997</c:v>
                </c:pt>
                <c:pt idx="51">
                  <c:v>39.24</c:v>
                </c:pt>
                <c:pt idx="52">
                  <c:v>40.01</c:v>
                </c:pt>
                <c:pt idx="53">
                  <c:v>40.770000000000003</c:v>
                </c:pt>
                <c:pt idx="54">
                  <c:v>41.53</c:v>
                </c:pt>
                <c:pt idx="55">
                  <c:v>42.3</c:v>
                </c:pt>
                <c:pt idx="56">
                  <c:v>43.06</c:v>
                </c:pt>
                <c:pt idx="57">
                  <c:v>43.82</c:v>
                </c:pt>
                <c:pt idx="58">
                  <c:v>44.58</c:v>
                </c:pt>
                <c:pt idx="59">
                  <c:v>45.34</c:v>
                </c:pt>
                <c:pt idx="60">
                  <c:v>46.1</c:v>
                </c:pt>
                <c:pt idx="61">
                  <c:v>46.85</c:v>
                </c:pt>
                <c:pt idx="62">
                  <c:v>47.61</c:v>
                </c:pt>
                <c:pt idx="63">
                  <c:v>48.36</c:v>
                </c:pt>
                <c:pt idx="64">
                  <c:v>49.1</c:v>
                </c:pt>
                <c:pt idx="65">
                  <c:v>49.85</c:v>
                </c:pt>
                <c:pt idx="66">
                  <c:v>50.6</c:v>
                </c:pt>
                <c:pt idx="67">
                  <c:v>51.34</c:v>
                </c:pt>
                <c:pt idx="68">
                  <c:v>52.09</c:v>
                </c:pt>
                <c:pt idx="69">
                  <c:v>52.84</c:v>
                </c:pt>
                <c:pt idx="70">
                  <c:v>53.58</c:v>
                </c:pt>
                <c:pt idx="71">
                  <c:v>54.35</c:v>
                </c:pt>
                <c:pt idx="72">
                  <c:v>55.12</c:v>
                </c:pt>
                <c:pt idx="73">
                  <c:v>55.9</c:v>
                </c:pt>
                <c:pt idx="74">
                  <c:v>56.69</c:v>
                </c:pt>
                <c:pt idx="75">
                  <c:v>57.49</c:v>
                </c:pt>
                <c:pt idx="76">
                  <c:v>58.3</c:v>
                </c:pt>
                <c:pt idx="77">
                  <c:v>59.11</c:v>
                </c:pt>
                <c:pt idx="78">
                  <c:v>59.94</c:v>
                </c:pt>
                <c:pt idx="79">
                  <c:v>60.78</c:v>
                </c:pt>
                <c:pt idx="80">
                  <c:v>61.63</c:v>
                </c:pt>
                <c:pt idx="81">
                  <c:v>62.5</c:v>
                </c:pt>
                <c:pt idx="82">
                  <c:v>63.38</c:v>
                </c:pt>
                <c:pt idx="83">
                  <c:v>64.260000000000005</c:v>
                </c:pt>
                <c:pt idx="84">
                  <c:v>65.13</c:v>
                </c:pt>
                <c:pt idx="85">
                  <c:v>66.010000000000005</c:v>
                </c:pt>
                <c:pt idx="86">
                  <c:v>66.88</c:v>
                </c:pt>
                <c:pt idx="87">
                  <c:v>67.739999999999995</c:v>
                </c:pt>
                <c:pt idx="88">
                  <c:v>68.59</c:v>
                </c:pt>
                <c:pt idx="89">
                  <c:v>69.430000000000007</c:v>
                </c:pt>
                <c:pt idx="90">
                  <c:v>70.27</c:v>
                </c:pt>
                <c:pt idx="91">
                  <c:v>71.099999999999994</c:v>
                </c:pt>
                <c:pt idx="92">
                  <c:v>71.930000000000007</c:v>
                </c:pt>
                <c:pt idx="93">
                  <c:v>72.75</c:v>
                </c:pt>
                <c:pt idx="94">
                  <c:v>73.569999999999993</c:v>
                </c:pt>
                <c:pt idx="95">
                  <c:v>74.39</c:v>
                </c:pt>
                <c:pt idx="96">
                  <c:v>75.19</c:v>
                </c:pt>
                <c:pt idx="97">
                  <c:v>75.989999999999995</c:v>
                </c:pt>
                <c:pt idx="98">
                  <c:v>76.790000000000006</c:v>
                </c:pt>
                <c:pt idx="99">
                  <c:v>77.58</c:v>
                </c:pt>
                <c:pt idx="100">
                  <c:v>78.37</c:v>
                </c:pt>
                <c:pt idx="101">
                  <c:v>79.150000000000006</c:v>
                </c:pt>
                <c:pt idx="102">
                  <c:v>79.930000000000007</c:v>
                </c:pt>
                <c:pt idx="103">
                  <c:v>80.7</c:v>
                </c:pt>
                <c:pt idx="104">
                  <c:v>81.47</c:v>
                </c:pt>
                <c:pt idx="105">
                  <c:v>82.24</c:v>
                </c:pt>
                <c:pt idx="106">
                  <c:v>83.01</c:v>
                </c:pt>
                <c:pt idx="107">
                  <c:v>83.78</c:v>
                </c:pt>
                <c:pt idx="108">
                  <c:v>84.55</c:v>
                </c:pt>
                <c:pt idx="109">
                  <c:v>85.33</c:v>
                </c:pt>
                <c:pt idx="110">
                  <c:v>86.1</c:v>
                </c:pt>
                <c:pt idx="111">
                  <c:v>86.88</c:v>
                </c:pt>
                <c:pt idx="112">
                  <c:v>87.65</c:v>
                </c:pt>
                <c:pt idx="113">
                  <c:v>88.43</c:v>
                </c:pt>
                <c:pt idx="114">
                  <c:v>89.21</c:v>
                </c:pt>
                <c:pt idx="115">
                  <c:v>89.99</c:v>
                </c:pt>
                <c:pt idx="116">
                  <c:v>90.78</c:v>
                </c:pt>
                <c:pt idx="117">
                  <c:v>91.56</c:v>
                </c:pt>
                <c:pt idx="118">
                  <c:v>92.35</c:v>
                </c:pt>
                <c:pt idx="119">
                  <c:v>93.15</c:v>
                </c:pt>
                <c:pt idx="120">
                  <c:v>93.94</c:v>
                </c:pt>
                <c:pt idx="121">
                  <c:v>94.73</c:v>
                </c:pt>
                <c:pt idx="122">
                  <c:v>95.53</c:v>
                </c:pt>
                <c:pt idx="123">
                  <c:v>96.33</c:v>
                </c:pt>
                <c:pt idx="124">
                  <c:v>97.13</c:v>
                </c:pt>
                <c:pt idx="125">
                  <c:v>97.93</c:v>
                </c:pt>
                <c:pt idx="126">
                  <c:v>98.74</c:v>
                </c:pt>
                <c:pt idx="127">
                  <c:v>99.55</c:v>
                </c:pt>
                <c:pt idx="128">
                  <c:v>100.38</c:v>
                </c:pt>
                <c:pt idx="129">
                  <c:v>101.23</c:v>
                </c:pt>
                <c:pt idx="130">
                  <c:v>102.08</c:v>
                </c:pt>
                <c:pt idx="131">
                  <c:v>102.97</c:v>
                </c:pt>
                <c:pt idx="132">
                  <c:v>103.87</c:v>
                </c:pt>
                <c:pt idx="133">
                  <c:v>104.78</c:v>
                </c:pt>
                <c:pt idx="134">
                  <c:v>105.71</c:v>
                </c:pt>
                <c:pt idx="135">
                  <c:v>106.65</c:v>
                </c:pt>
                <c:pt idx="136">
                  <c:v>107.64</c:v>
                </c:pt>
                <c:pt idx="137">
                  <c:v>108.62</c:v>
                </c:pt>
                <c:pt idx="138">
                  <c:v>109.6</c:v>
                </c:pt>
                <c:pt idx="139">
                  <c:v>110.57</c:v>
                </c:pt>
                <c:pt idx="140">
                  <c:v>111.53</c:v>
                </c:pt>
                <c:pt idx="141">
                  <c:v>112.45</c:v>
                </c:pt>
                <c:pt idx="142">
                  <c:v>113.37</c:v>
                </c:pt>
                <c:pt idx="143">
                  <c:v>114.27</c:v>
                </c:pt>
                <c:pt idx="144">
                  <c:v>115.15</c:v>
                </c:pt>
                <c:pt idx="145">
                  <c:v>116.02</c:v>
                </c:pt>
                <c:pt idx="146">
                  <c:v>116.85</c:v>
                </c:pt>
                <c:pt idx="147">
                  <c:v>117.68</c:v>
                </c:pt>
                <c:pt idx="148">
                  <c:v>118.5</c:v>
                </c:pt>
                <c:pt idx="149">
                  <c:v>119.29</c:v>
                </c:pt>
                <c:pt idx="150">
                  <c:v>120.09</c:v>
                </c:pt>
                <c:pt idx="151">
                  <c:v>120.85</c:v>
                </c:pt>
                <c:pt idx="152">
                  <c:v>121.61</c:v>
                </c:pt>
                <c:pt idx="153">
                  <c:v>122.36</c:v>
                </c:pt>
                <c:pt idx="154">
                  <c:v>123.1</c:v>
                </c:pt>
                <c:pt idx="155">
                  <c:v>123.83</c:v>
                </c:pt>
                <c:pt idx="156">
                  <c:v>124.54</c:v>
                </c:pt>
                <c:pt idx="157">
                  <c:v>125.25</c:v>
                </c:pt>
                <c:pt idx="158">
                  <c:v>125.95</c:v>
                </c:pt>
                <c:pt idx="159">
                  <c:v>126.65</c:v>
                </c:pt>
                <c:pt idx="160">
                  <c:v>127.34</c:v>
                </c:pt>
                <c:pt idx="161">
                  <c:v>128.04</c:v>
                </c:pt>
                <c:pt idx="162">
                  <c:v>128.74</c:v>
                </c:pt>
                <c:pt idx="163">
                  <c:v>129.44</c:v>
                </c:pt>
                <c:pt idx="164">
                  <c:v>130.15</c:v>
                </c:pt>
                <c:pt idx="165">
                  <c:v>130.86000000000001</c:v>
                </c:pt>
                <c:pt idx="166">
                  <c:v>131.57</c:v>
                </c:pt>
                <c:pt idx="167">
                  <c:v>132.29</c:v>
                </c:pt>
                <c:pt idx="168">
                  <c:v>133.01</c:v>
                </c:pt>
                <c:pt idx="169">
                  <c:v>133.74</c:v>
                </c:pt>
                <c:pt idx="170">
                  <c:v>134.47</c:v>
                </c:pt>
                <c:pt idx="171">
                  <c:v>135.24</c:v>
                </c:pt>
                <c:pt idx="172">
                  <c:v>136</c:v>
                </c:pt>
                <c:pt idx="173">
                  <c:v>136.80000000000001</c:v>
                </c:pt>
                <c:pt idx="174">
                  <c:v>137.63999999999999</c:v>
                </c:pt>
                <c:pt idx="175">
                  <c:v>138.49</c:v>
                </c:pt>
                <c:pt idx="176">
                  <c:v>139.43</c:v>
                </c:pt>
                <c:pt idx="177">
                  <c:v>140.4</c:v>
                </c:pt>
                <c:pt idx="178">
                  <c:v>141.38999999999999</c:v>
                </c:pt>
                <c:pt idx="179">
                  <c:v>142.49</c:v>
                </c:pt>
                <c:pt idx="180">
                  <c:v>143.61000000000001</c:v>
                </c:pt>
                <c:pt idx="181">
                  <c:v>144.88999999999999</c:v>
                </c:pt>
                <c:pt idx="182">
                  <c:v>146.18</c:v>
                </c:pt>
                <c:pt idx="183">
                  <c:v>147.58000000000001</c:v>
                </c:pt>
                <c:pt idx="184">
                  <c:v>149.11000000000001</c:v>
                </c:pt>
                <c:pt idx="185">
                  <c:v>150.66999999999999</c:v>
                </c:pt>
                <c:pt idx="186">
                  <c:v>152.35</c:v>
                </c:pt>
                <c:pt idx="187">
                  <c:v>154.02000000000001</c:v>
                </c:pt>
                <c:pt idx="188">
                  <c:v>155.69999999999999</c:v>
                </c:pt>
                <c:pt idx="189">
                  <c:v>157.38</c:v>
                </c:pt>
                <c:pt idx="190">
                  <c:v>159.05000000000001</c:v>
                </c:pt>
                <c:pt idx="191">
                  <c:v>160.72999999999999</c:v>
                </c:pt>
              </c:numCache>
            </c:numRef>
          </c:yVal>
          <c:smooth val="1"/>
          <c:extLst>
            <c:ext xmlns:c16="http://schemas.microsoft.com/office/drawing/2014/chart" uri="{C3380CC4-5D6E-409C-BE32-E72D297353CC}">
              <c16:uniqueId val="{00000000-0EF7-2642-BBEB-D5F2FDDC4677}"/>
            </c:ext>
          </c:extLst>
        </c:ser>
        <c:ser>
          <c:idx val="1"/>
          <c:order val="1"/>
          <c:tx>
            <c:strRef>
              <c:f>'Task 2'!$E$1</c:f>
              <c:strCache>
                <c:ptCount val="1"/>
                <c:pt idx="0">
                  <c:v>age_of_gas (ka)</c:v>
                </c:pt>
              </c:strCache>
            </c:strRef>
          </c:tx>
          <c:spPr>
            <a:ln w="19050" cap="rnd">
              <a:solidFill>
                <a:schemeClr val="accent2"/>
              </a:solidFill>
              <a:round/>
            </a:ln>
            <a:effectLst/>
          </c:spPr>
          <c:marker>
            <c:symbol val="none"/>
          </c:marker>
          <c:xVal>
            <c:numRef>
              <c:f>'Task 2'!$C$2:$C$193</c:f>
              <c:numCache>
                <c:formatCode>General</c:formatCode>
                <c:ptCount val="192"/>
                <c:pt idx="0">
                  <c:v>150</c:v>
                </c:pt>
                <c:pt idx="1">
                  <c:v>160</c:v>
                </c:pt>
                <c:pt idx="2">
                  <c:v>170</c:v>
                </c:pt>
                <c:pt idx="3">
                  <c:v>180</c:v>
                </c:pt>
                <c:pt idx="4">
                  <c:v>190</c:v>
                </c:pt>
                <c:pt idx="5">
                  <c:v>200</c:v>
                </c:pt>
                <c:pt idx="6">
                  <c:v>210</c:v>
                </c:pt>
                <c:pt idx="7">
                  <c:v>220</c:v>
                </c:pt>
                <c:pt idx="8">
                  <c:v>230</c:v>
                </c:pt>
                <c:pt idx="9">
                  <c:v>240</c:v>
                </c:pt>
                <c:pt idx="10">
                  <c:v>250</c:v>
                </c:pt>
                <c:pt idx="11">
                  <c:v>260</c:v>
                </c:pt>
                <c:pt idx="12">
                  <c:v>270</c:v>
                </c:pt>
                <c:pt idx="13">
                  <c:v>280</c:v>
                </c:pt>
                <c:pt idx="14">
                  <c:v>290</c:v>
                </c:pt>
                <c:pt idx="15">
                  <c:v>300</c:v>
                </c:pt>
                <c:pt idx="16">
                  <c:v>310</c:v>
                </c:pt>
                <c:pt idx="17">
                  <c:v>320</c:v>
                </c:pt>
                <c:pt idx="18">
                  <c:v>330</c:v>
                </c:pt>
                <c:pt idx="19">
                  <c:v>340</c:v>
                </c:pt>
                <c:pt idx="20">
                  <c:v>350</c:v>
                </c:pt>
                <c:pt idx="21">
                  <c:v>360</c:v>
                </c:pt>
                <c:pt idx="22">
                  <c:v>370</c:v>
                </c:pt>
                <c:pt idx="23">
                  <c:v>380</c:v>
                </c:pt>
                <c:pt idx="24">
                  <c:v>390</c:v>
                </c:pt>
                <c:pt idx="25">
                  <c:v>400</c:v>
                </c:pt>
                <c:pt idx="26">
                  <c:v>410</c:v>
                </c:pt>
                <c:pt idx="27">
                  <c:v>420</c:v>
                </c:pt>
                <c:pt idx="28">
                  <c:v>430</c:v>
                </c:pt>
                <c:pt idx="29">
                  <c:v>440</c:v>
                </c:pt>
                <c:pt idx="30">
                  <c:v>450</c:v>
                </c:pt>
                <c:pt idx="31">
                  <c:v>460</c:v>
                </c:pt>
                <c:pt idx="32">
                  <c:v>470</c:v>
                </c:pt>
                <c:pt idx="33">
                  <c:v>480</c:v>
                </c:pt>
                <c:pt idx="34">
                  <c:v>490</c:v>
                </c:pt>
                <c:pt idx="35">
                  <c:v>500</c:v>
                </c:pt>
                <c:pt idx="36">
                  <c:v>510</c:v>
                </c:pt>
                <c:pt idx="37">
                  <c:v>520</c:v>
                </c:pt>
                <c:pt idx="38">
                  <c:v>530</c:v>
                </c:pt>
                <c:pt idx="39">
                  <c:v>540</c:v>
                </c:pt>
                <c:pt idx="40">
                  <c:v>550</c:v>
                </c:pt>
                <c:pt idx="41">
                  <c:v>560</c:v>
                </c:pt>
                <c:pt idx="42">
                  <c:v>570</c:v>
                </c:pt>
                <c:pt idx="43">
                  <c:v>580</c:v>
                </c:pt>
                <c:pt idx="44">
                  <c:v>590</c:v>
                </c:pt>
                <c:pt idx="45">
                  <c:v>600</c:v>
                </c:pt>
                <c:pt idx="46">
                  <c:v>610</c:v>
                </c:pt>
                <c:pt idx="47">
                  <c:v>620</c:v>
                </c:pt>
                <c:pt idx="48">
                  <c:v>630</c:v>
                </c:pt>
                <c:pt idx="49">
                  <c:v>640</c:v>
                </c:pt>
                <c:pt idx="50">
                  <c:v>650</c:v>
                </c:pt>
                <c:pt idx="51">
                  <c:v>660</c:v>
                </c:pt>
                <c:pt idx="52">
                  <c:v>670</c:v>
                </c:pt>
                <c:pt idx="53">
                  <c:v>680</c:v>
                </c:pt>
                <c:pt idx="54">
                  <c:v>690</c:v>
                </c:pt>
                <c:pt idx="55">
                  <c:v>700</c:v>
                </c:pt>
                <c:pt idx="56">
                  <c:v>710</c:v>
                </c:pt>
                <c:pt idx="57">
                  <c:v>720</c:v>
                </c:pt>
                <c:pt idx="58">
                  <c:v>730</c:v>
                </c:pt>
                <c:pt idx="59">
                  <c:v>740</c:v>
                </c:pt>
                <c:pt idx="60">
                  <c:v>750</c:v>
                </c:pt>
                <c:pt idx="61">
                  <c:v>760</c:v>
                </c:pt>
                <c:pt idx="62">
                  <c:v>770</c:v>
                </c:pt>
                <c:pt idx="63">
                  <c:v>780</c:v>
                </c:pt>
                <c:pt idx="64">
                  <c:v>790</c:v>
                </c:pt>
                <c:pt idx="65">
                  <c:v>800</c:v>
                </c:pt>
                <c:pt idx="66">
                  <c:v>810</c:v>
                </c:pt>
                <c:pt idx="67">
                  <c:v>820</c:v>
                </c:pt>
                <c:pt idx="68">
                  <c:v>830</c:v>
                </c:pt>
                <c:pt idx="69">
                  <c:v>840</c:v>
                </c:pt>
                <c:pt idx="70">
                  <c:v>850</c:v>
                </c:pt>
                <c:pt idx="71">
                  <c:v>860</c:v>
                </c:pt>
                <c:pt idx="72">
                  <c:v>870</c:v>
                </c:pt>
                <c:pt idx="73">
                  <c:v>880</c:v>
                </c:pt>
                <c:pt idx="74">
                  <c:v>890</c:v>
                </c:pt>
                <c:pt idx="75">
                  <c:v>900</c:v>
                </c:pt>
                <c:pt idx="76">
                  <c:v>910</c:v>
                </c:pt>
                <c:pt idx="77">
                  <c:v>920</c:v>
                </c:pt>
                <c:pt idx="78">
                  <c:v>930</c:v>
                </c:pt>
                <c:pt idx="79">
                  <c:v>940</c:v>
                </c:pt>
                <c:pt idx="80">
                  <c:v>950</c:v>
                </c:pt>
                <c:pt idx="81">
                  <c:v>960</c:v>
                </c:pt>
                <c:pt idx="82">
                  <c:v>970</c:v>
                </c:pt>
                <c:pt idx="83">
                  <c:v>980</c:v>
                </c:pt>
                <c:pt idx="84">
                  <c:v>990</c:v>
                </c:pt>
                <c:pt idx="85">
                  <c:v>1000</c:v>
                </c:pt>
                <c:pt idx="86">
                  <c:v>1010</c:v>
                </c:pt>
                <c:pt idx="87">
                  <c:v>1020</c:v>
                </c:pt>
                <c:pt idx="88">
                  <c:v>1030</c:v>
                </c:pt>
                <c:pt idx="89">
                  <c:v>1040</c:v>
                </c:pt>
                <c:pt idx="90">
                  <c:v>1050</c:v>
                </c:pt>
                <c:pt idx="91">
                  <c:v>1060</c:v>
                </c:pt>
                <c:pt idx="92">
                  <c:v>1070</c:v>
                </c:pt>
                <c:pt idx="93">
                  <c:v>1080</c:v>
                </c:pt>
                <c:pt idx="94">
                  <c:v>1090</c:v>
                </c:pt>
                <c:pt idx="95">
                  <c:v>1100</c:v>
                </c:pt>
                <c:pt idx="96">
                  <c:v>1110</c:v>
                </c:pt>
                <c:pt idx="97">
                  <c:v>1120</c:v>
                </c:pt>
                <c:pt idx="98">
                  <c:v>1130</c:v>
                </c:pt>
                <c:pt idx="99">
                  <c:v>1140</c:v>
                </c:pt>
                <c:pt idx="100">
                  <c:v>1150</c:v>
                </c:pt>
                <c:pt idx="101">
                  <c:v>1160</c:v>
                </c:pt>
                <c:pt idx="102">
                  <c:v>1170</c:v>
                </c:pt>
                <c:pt idx="103">
                  <c:v>1180</c:v>
                </c:pt>
                <c:pt idx="104">
                  <c:v>1190</c:v>
                </c:pt>
                <c:pt idx="105">
                  <c:v>1200</c:v>
                </c:pt>
                <c:pt idx="106">
                  <c:v>1210</c:v>
                </c:pt>
                <c:pt idx="107">
                  <c:v>1220</c:v>
                </c:pt>
                <c:pt idx="108">
                  <c:v>1230</c:v>
                </c:pt>
                <c:pt idx="109">
                  <c:v>1240</c:v>
                </c:pt>
                <c:pt idx="110">
                  <c:v>1250</c:v>
                </c:pt>
                <c:pt idx="111">
                  <c:v>1260</c:v>
                </c:pt>
                <c:pt idx="112">
                  <c:v>1270</c:v>
                </c:pt>
                <c:pt idx="113">
                  <c:v>1280</c:v>
                </c:pt>
                <c:pt idx="114">
                  <c:v>1290</c:v>
                </c:pt>
                <c:pt idx="115">
                  <c:v>1300</c:v>
                </c:pt>
                <c:pt idx="116">
                  <c:v>1310</c:v>
                </c:pt>
                <c:pt idx="117">
                  <c:v>1320</c:v>
                </c:pt>
                <c:pt idx="118">
                  <c:v>1330</c:v>
                </c:pt>
                <c:pt idx="119">
                  <c:v>1340</c:v>
                </c:pt>
                <c:pt idx="120">
                  <c:v>1350</c:v>
                </c:pt>
                <c:pt idx="121">
                  <c:v>1360</c:v>
                </c:pt>
                <c:pt idx="122">
                  <c:v>1370</c:v>
                </c:pt>
                <c:pt idx="123">
                  <c:v>1380</c:v>
                </c:pt>
                <c:pt idx="124">
                  <c:v>1390</c:v>
                </c:pt>
                <c:pt idx="125">
                  <c:v>1400</c:v>
                </c:pt>
                <c:pt idx="126">
                  <c:v>1410</c:v>
                </c:pt>
                <c:pt idx="127">
                  <c:v>1420</c:v>
                </c:pt>
                <c:pt idx="128">
                  <c:v>1430</c:v>
                </c:pt>
                <c:pt idx="129">
                  <c:v>1440</c:v>
                </c:pt>
                <c:pt idx="130">
                  <c:v>1450</c:v>
                </c:pt>
                <c:pt idx="131">
                  <c:v>1460</c:v>
                </c:pt>
                <c:pt idx="132">
                  <c:v>1470</c:v>
                </c:pt>
                <c:pt idx="133">
                  <c:v>1480</c:v>
                </c:pt>
                <c:pt idx="134">
                  <c:v>1490</c:v>
                </c:pt>
                <c:pt idx="135">
                  <c:v>1500</c:v>
                </c:pt>
                <c:pt idx="136">
                  <c:v>1510</c:v>
                </c:pt>
                <c:pt idx="137">
                  <c:v>1520</c:v>
                </c:pt>
                <c:pt idx="138">
                  <c:v>1530</c:v>
                </c:pt>
                <c:pt idx="139">
                  <c:v>1540</c:v>
                </c:pt>
                <c:pt idx="140">
                  <c:v>1550</c:v>
                </c:pt>
                <c:pt idx="141">
                  <c:v>1560</c:v>
                </c:pt>
                <c:pt idx="142">
                  <c:v>1570</c:v>
                </c:pt>
                <c:pt idx="143">
                  <c:v>1580</c:v>
                </c:pt>
                <c:pt idx="144">
                  <c:v>1590</c:v>
                </c:pt>
                <c:pt idx="145">
                  <c:v>1600</c:v>
                </c:pt>
                <c:pt idx="146">
                  <c:v>1610</c:v>
                </c:pt>
                <c:pt idx="147">
                  <c:v>1620</c:v>
                </c:pt>
                <c:pt idx="148">
                  <c:v>1630</c:v>
                </c:pt>
                <c:pt idx="149">
                  <c:v>1640</c:v>
                </c:pt>
                <c:pt idx="150">
                  <c:v>1650</c:v>
                </c:pt>
                <c:pt idx="151">
                  <c:v>1660</c:v>
                </c:pt>
                <c:pt idx="152">
                  <c:v>1670</c:v>
                </c:pt>
                <c:pt idx="153">
                  <c:v>1680</c:v>
                </c:pt>
                <c:pt idx="154">
                  <c:v>1690</c:v>
                </c:pt>
                <c:pt idx="155">
                  <c:v>1700</c:v>
                </c:pt>
                <c:pt idx="156">
                  <c:v>1710</c:v>
                </c:pt>
                <c:pt idx="157">
                  <c:v>1720</c:v>
                </c:pt>
                <c:pt idx="158">
                  <c:v>1730</c:v>
                </c:pt>
                <c:pt idx="159">
                  <c:v>1740</c:v>
                </c:pt>
                <c:pt idx="160">
                  <c:v>1750</c:v>
                </c:pt>
                <c:pt idx="161">
                  <c:v>1760</c:v>
                </c:pt>
                <c:pt idx="162">
                  <c:v>1770</c:v>
                </c:pt>
                <c:pt idx="163">
                  <c:v>1780</c:v>
                </c:pt>
                <c:pt idx="164">
                  <c:v>1790</c:v>
                </c:pt>
                <c:pt idx="165">
                  <c:v>1800</c:v>
                </c:pt>
                <c:pt idx="166">
                  <c:v>1810</c:v>
                </c:pt>
                <c:pt idx="167">
                  <c:v>1820</c:v>
                </c:pt>
                <c:pt idx="168">
                  <c:v>1830</c:v>
                </c:pt>
                <c:pt idx="169">
                  <c:v>1840</c:v>
                </c:pt>
                <c:pt idx="170">
                  <c:v>1850</c:v>
                </c:pt>
                <c:pt idx="171">
                  <c:v>1860</c:v>
                </c:pt>
                <c:pt idx="172">
                  <c:v>1870</c:v>
                </c:pt>
                <c:pt idx="173">
                  <c:v>1880</c:v>
                </c:pt>
                <c:pt idx="174">
                  <c:v>1890</c:v>
                </c:pt>
                <c:pt idx="175">
                  <c:v>1900</c:v>
                </c:pt>
                <c:pt idx="176">
                  <c:v>1910</c:v>
                </c:pt>
                <c:pt idx="177">
                  <c:v>1920</c:v>
                </c:pt>
                <c:pt idx="178">
                  <c:v>1930</c:v>
                </c:pt>
                <c:pt idx="179">
                  <c:v>1940</c:v>
                </c:pt>
                <c:pt idx="180">
                  <c:v>1950</c:v>
                </c:pt>
                <c:pt idx="181">
                  <c:v>1960</c:v>
                </c:pt>
                <c:pt idx="182">
                  <c:v>1970</c:v>
                </c:pt>
                <c:pt idx="183">
                  <c:v>1980</c:v>
                </c:pt>
                <c:pt idx="184">
                  <c:v>1990</c:v>
                </c:pt>
                <c:pt idx="185">
                  <c:v>2000</c:v>
                </c:pt>
                <c:pt idx="186">
                  <c:v>2010</c:v>
                </c:pt>
                <c:pt idx="187">
                  <c:v>2020</c:v>
                </c:pt>
                <c:pt idx="188">
                  <c:v>2030</c:v>
                </c:pt>
                <c:pt idx="189">
                  <c:v>2040</c:v>
                </c:pt>
                <c:pt idx="190">
                  <c:v>2050</c:v>
                </c:pt>
                <c:pt idx="191">
                  <c:v>2060</c:v>
                </c:pt>
              </c:numCache>
            </c:numRef>
          </c:xVal>
          <c:yVal>
            <c:numRef>
              <c:f>'Task 2'!$E$2:$E$193</c:f>
              <c:numCache>
                <c:formatCode>General</c:formatCode>
                <c:ptCount val="192"/>
                <c:pt idx="0">
                  <c:v>2.66</c:v>
                </c:pt>
                <c:pt idx="1">
                  <c:v>3.04</c:v>
                </c:pt>
                <c:pt idx="2">
                  <c:v>3.41</c:v>
                </c:pt>
                <c:pt idx="3">
                  <c:v>3.82</c:v>
                </c:pt>
                <c:pt idx="4">
                  <c:v>4.25</c:v>
                </c:pt>
                <c:pt idx="5">
                  <c:v>4.67</c:v>
                </c:pt>
                <c:pt idx="6">
                  <c:v>5.09</c:v>
                </c:pt>
                <c:pt idx="7">
                  <c:v>5.52</c:v>
                </c:pt>
                <c:pt idx="8">
                  <c:v>5.94</c:v>
                </c:pt>
                <c:pt idx="9">
                  <c:v>6.36</c:v>
                </c:pt>
                <c:pt idx="10">
                  <c:v>6.79</c:v>
                </c:pt>
                <c:pt idx="11">
                  <c:v>7.23</c:v>
                </c:pt>
                <c:pt idx="12">
                  <c:v>7.68</c:v>
                </c:pt>
                <c:pt idx="13">
                  <c:v>8.1300000000000008</c:v>
                </c:pt>
                <c:pt idx="14">
                  <c:v>8.58</c:v>
                </c:pt>
                <c:pt idx="15">
                  <c:v>9.02</c:v>
                </c:pt>
                <c:pt idx="16">
                  <c:v>9.52</c:v>
                </c:pt>
                <c:pt idx="17">
                  <c:v>10.039999999999999</c:v>
                </c:pt>
                <c:pt idx="18">
                  <c:v>10.56</c:v>
                </c:pt>
                <c:pt idx="19">
                  <c:v>11.08</c:v>
                </c:pt>
                <c:pt idx="20">
                  <c:v>11.6</c:v>
                </c:pt>
                <c:pt idx="21">
                  <c:v>12.12</c:v>
                </c:pt>
                <c:pt idx="22">
                  <c:v>12.64</c:v>
                </c:pt>
                <c:pt idx="23">
                  <c:v>13.22</c:v>
                </c:pt>
                <c:pt idx="24">
                  <c:v>13.87</c:v>
                </c:pt>
                <c:pt idx="25">
                  <c:v>14.52</c:v>
                </c:pt>
                <c:pt idx="26">
                  <c:v>15.18</c:v>
                </c:pt>
                <c:pt idx="27">
                  <c:v>15.83</c:v>
                </c:pt>
                <c:pt idx="28">
                  <c:v>16.54</c:v>
                </c:pt>
                <c:pt idx="29">
                  <c:v>17.34</c:v>
                </c:pt>
                <c:pt idx="30">
                  <c:v>18.149999999999999</c:v>
                </c:pt>
                <c:pt idx="31">
                  <c:v>18.95</c:v>
                </c:pt>
                <c:pt idx="32">
                  <c:v>19.75</c:v>
                </c:pt>
                <c:pt idx="33">
                  <c:v>20.58</c:v>
                </c:pt>
                <c:pt idx="34">
                  <c:v>21.42</c:v>
                </c:pt>
                <c:pt idx="35">
                  <c:v>22.27</c:v>
                </c:pt>
                <c:pt idx="36">
                  <c:v>23.11</c:v>
                </c:pt>
                <c:pt idx="37">
                  <c:v>23.96</c:v>
                </c:pt>
                <c:pt idx="38">
                  <c:v>24.81</c:v>
                </c:pt>
                <c:pt idx="39">
                  <c:v>25.66</c:v>
                </c:pt>
                <c:pt idx="40">
                  <c:v>26.51</c:v>
                </c:pt>
                <c:pt idx="41">
                  <c:v>27.36</c:v>
                </c:pt>
                <c:pt idx="42">
                  <c:v>28.21</c:v>
                </c:pt>
                <c:pt idx="43">
                  <c:v>29.05</c:v>
                </c:pt>
                <c:pt idx="44">
                  <c:v>29.89</c:v>
                </c:pt>
                <c:pt idx="45">
                  <c:v>30.72</c:v>
                </c:pt>
                <c:pt idx="46">
                  <c:v>31.53</c:v>
                </c:pt>
                <c:pt idx="47">
                  <c:v>32.35</c:v>
                </c:pt>
                <c:pt idx="48">
                  <c:v>33.15</c:v>
                </c:pt>
                <c:pt idx="49">
                  <c:v>33.950000000000003</c:v>
                </c:pt>
                <c:pt idx="50">
                  <c:v>34.74</c:v>
                </c:pt>
                <c:pt idx="51">
                  <c:v>35.520000000000003</c:v>
                </c:pt>
                <c:pt idx="52">
                  <c:v>36.299999999999997</c:v>
                </c:pt>
                <c:pt idx="53">
                  <c:v>37.08</c:v>
                </c:pt>
                <c:pt idx="54">
                  <c:v>37.86</c:v>
                </c:pt>
                <c:pt idx="55">
                  <c:v>38.64</c:v>
                </c:pt>
                <c:pt idx="56">
                  <c:v>39.4</c:v>
                </c:pt>
                <c:pt idx="57">
                  <c:v>40.159999999999997</c:v>
                </c:pt>
                <c:pt idx="58">
                  <c:v>40.92</c:v>
                </c:pt>
                <c:pt idx="59">
                  <c:v>41.68</c:v>
                </c:pt>
                <c:pt idx="60">
                  <c:v>42.44</c:v>
                </c:pt>
                <c:pt idx="61">
                  <c:v>43.2</c:v>
                </c:pt>
                <c:pt idx="62">
                  <c:v>43.96</c:v>
                </c:pt>
                <c:pt idx="63">
                  <c:v>44.71</c:v>
                </c:pt>
                <c:pt idx="64">
                  <c:v>45.47</c:v>
                </c:pt>
                <c:pt idx="65">
                  <c:v>46.22</c:v>
                </c:pt>
                <c:pt idx="66">
                  <c:v>46.97</c:v>
                </c:pt>
                <c:pt idx="67">
                  <c:v>47.72</c:v>
                </c:pt>
                <c:pt idx="68">
                  <c:v>48.47</c:v>
                </c:pt>
                <c:pt idx="69">
                  <c:v>49.21</c:v>
                </c:pt>
                <c:pt idx="70">
                  <c:v>49.96</c:v>
                </c:pt>
                <c:pt idx="71">
                  <c:v>50.71</c:v>
                </c:pt>
                <c:pt idx="72">
                  <c:v>51.45</c:v>
                </c:pt>
                <c:pt idx="73">
                  <c:v>52.2</c:v>
                </c:pt>
                <c:pt idx="74">
                  <c:v>52.95</c:v>
                </c:pt>
                <c:pt idx="75">
                  <c:v>53.7</c:v>
                </c:pt>
                <c:pt idx="76">
                  <c:v>54.47</c:v>
                </c:pt>
                <c:pt idx="77">
                  <c:v>55.25</c:v>
                </c:pt>
                <c:pt idx="78">
                  <c:v>56.04</c:v>
                </c:pt>
                <c:pt idx="79">
                  <c:v>56.84</c:v>
                </c:pt>
                <c:pt idx="80">
                  <c:v>57.65</c:v>
                </c:pt>
                <c:pt idx="81">
                  <c:v>58.47</c:v>
                </c:pt>
                <c:pt idx="82">
                  <c:v>59.3</c:v>
                </c:pt>
                <c:pt idx="83">
                  <c:v>60.14</c:v>
                </c:pt>
                <c:pt idx="84">
                  <c:v>61</c:v>
                </c:pt>
                <c:pt idx="85">
                  <c:v>61.86</c:v>
                </c:pt>
                <c:pt idx="86">
                  <c:v>62.75</c:v>
                </c:pt>
                <c:pt idx="87">
                  <c:v>63.65</c:v>
                </c:pt>
                <c:pt idx="88">
                  <c:v>64.540000000000006</c:v>
                </c:pt>
                <c:pt idx="89">
                  <c:v>65.430000000000007</c:v>
                </c:pt>
                <c:pt idx="90">
                  <c:v>66.33</c:v>
                </c:pt>
                <c:pt idx="91">
                  <c:v>67.2</c:v>
                </c:pt>
                <c:pt idx="92">
                  <c:v>68.069999999999993</c:v>
                </c:pt>
                <c:pt idx="93">
                  <c:v>68.94</c:v>
                </c:pt>
                <c:pt idx="94">
                  <c:v>69.790000000000006</c:v>
                </c:pt>
                <c:pt idx="95">
                  <c:v>70.650000000000006</c:v>
                </c:pt>
                <c:pt idx="96">
                  <c:v>71.489999999999995</c:v>
                </c:pt>
                <c:pt idx="97">
                  <c:v>72.34</c:v>
                </c:pt>
                <c:pt idx="98">
                  <c:v>73.17</c:v>
                </c:pt>
                <c:pt idx="99">
                  <c:v>74</c:v>
                </c:pt>
                <c:pt idx="100">
                  <c:v>74.83</c:v>
                </c:pt>
                <c:pt idx="101">
                  <c:v>75.64</c:v>
                </c:pt>
                <c:pt idx="102">
                  <c:v>76.45</c:v>
                </c:pt>
                <c:pt idx="103">
                  <c:v>77.260000000000005</c:v>
                </c:pt>
                <c:pt idx="104">
                  <c:v>78.06</c:v>
                </c:pt>
                <c:pt idx="105">
                  <c:v>78.849999999999994</c:v>
                </c:pt>
                <c:pt idx="106">
                  <c:v>79.650000000000006</c:v>
                </c:pt>
                <c:pt idx="107">
                  <c:v>80.45</c:v>
                </c:pt>
                <c:pt idx="108">
                  <c:v>81.22</c:v>
                </c:pt>
                <c:pt idx="109">
                  <c:v>81.96</c:v>
                </c:pt>
                <c:pt idx="110">
                  <c:v>82.71</c:v>
                </c:pt>
                <c:pt idx="111">
                  <c:v>83.52</c:v>
                </c:pt>
                <c:pt idx="112">
                  <c:v>84.35</c:v>
                </c:pt>
                <c:pt idx="113">
                  <c:v>85.16</c:v>
                </c:pt>
                <c:pt idx="114">
                  <c:v>85.95</c:v>
                </c:pt>
                <c:pt idx="115">
                  <c:v>86.74</c:v>
                </c:pt>
                <c:pt idx="116">
                  <c:v>87.53</c:v>
                </c:pt>
                <c:pt idx="117">
                  <c:v>88.32</c:v>
                </c:pt>
                <c:pt idx="118">
                  <c:v>89.12</c:v>
                </c:pt>
                <c:pt idx="119">
                  <c:v>89.91</c:v>
                </c:pt>
                <c:pt idx="120">
                  <c:v>90.71</c:v>
                </c:pt>
                <c:pt idx="121">
                  <c:v>91.51</c:v>
                </c:pt>
                <c:pt idx="122">
                  <c:v>92.31</c:v>
                </c:pt>
                <c:pt idx="123">
                  <c:v>93.12</c:v>
                </c:pt>
                <c:pt idx="124">
                  <c:v>93.93</c:v>
                </c:pt>
                <c:pt idx="125">
                  <c:v>94.74</c:v>
                </c:pt>
                <c:pt idx="126">
                  <c:v>95.55</c:v>
                </c:pt>
                <c:pt idx="127">
                  <c:v>96.36</c:v>
                </c:pt>
                <c:pt idx="128">
                  <c:v>97.18</c:v>
                </c:pt>
                <c:pt idx="129">
                  <c:v>98</c:v>
                </c:pt>
                <c:pt idx="130">
                  <c:v>98.83</c:v>
                </c:pt>
                <c:pt idx="131">
                  <c:v>99.67</c:v>
                </c:pt>
                <c:pt idx="132">
                  <c:v>100.52</c:v>
                </c:pt>
                <c:pt idx="133">
                  <c:v>101.39</c:v>
                </c:pt>
                <c:pt idx="134">
                  <c:v>102.28</c:v>
                </c:pt>
                <c:pt idx="135">
                  <c:v>103.17</c:v>
                </c:pt>
                <c:pt idx="136">
                  <c:v>104.1</c:v>
                </c:pt>
                <c:pt idx="137">
                  <c:v>105.03</c:v>
                </c:pt>
                <c:pt idx="138">
                  <c:v>105.98</c:v>
                </c:pt>
                <c:pt idx="139">
                  <c:v>106.96</c:v>
                </c:pt>
                <c:pt idx="140">
                  <c:v>107.95</c:v>
                </c:pt>
                <c:pt idx="141">
                  <c:v>108.97</c:v>
                </c:pt>
                <c:pt idx="142">
                  <c:v>109.98</c:v>
                </c:pt>
                <c:pt idx="143">
                  <c:v>110.97</c:v>
                </c:pt>
                <c:pt idx="144">
                  <c:v>111.93</c:v>
                </c:pt>
                <c:pt idx="145">
                  <c:v>112.88</c:v>
                </c:pt>
                <c:pt idx="146">
                  <c:v>113.79</c:v>
                </c:pt>
                <c:pt idx="147">
                  <c:v>114.7</c:v>
                </c:pt>
                <c:pt idx="148">
                  <c:v>115.59</c:v>
                </c:pt>
                <c:pt idx="149">
                  <c:v>116.46</c:v>
                </c:pt>
                <c:pt idx="150">
                  <c:v>117.32</c:v>
                </c:pt>
                <c:pt idx="151">
                  <c:v>118.15</c:v>
                </c:pt>
                <c:pt idx="152">
                  <c:v>118.97</c:v>
                </c:pt>
                <c:pt idx="153">
                  <c:v>119.78</c:v>
                </c:pt>
                <c:pt idx="154">
                  <c:v>120.57</c:v>
                </c:pt>
                <c:pt idx="155">
                  <c:v>121.36</c:v>
                </c:pt>
                <c:pt idx="156">
                  <c:v>122.12</c:v>
                </c:pt>
                <c:pt idx="157">
                  <c:v>122.87</c:v>
                </c:pt>
                <c:pt idx="158">
                  <c:v>123.61</c:v>
                </c:pt>
                <c:pt idx="159">
                  <c:v>124.33</c:v>
                </c:pt>
                <c:pt idx="160">
                  <c:v>125.04</c:v>
                </c:pt>
                <c:pt idx="161">
                  <c:v>125.76</c:v>
                </c:pt>
                <c:pt idx="162">
                  <c:v>126.48</c:v>
                </c:pt>
                <c:pt idx="163">
                  <c:v>127.19</c:v>
                </c:pt>
                <c:pt idx="164">
                  <c:v>127.9</c:v>
                </c:pt>
                <c:pt idx="165">
                  <c:v>128.61000000000001</c:v>
                </c:pt>
                <c:pt idx="166">
                  <c:v>129.33000000000001</c:v>
                </c:pt>
                <c:pt idx="167">
                  <c:v>130.05000000000001</c:v>
                </c:pt>
                <c:pt idx="168">
                  <c:v>130.78</c:v>
                </c:pt>
                <c:pt idx="169">
                  <c:v>131.51</c:v>
                </c:pt>
                <c:pt idx="170">
                  <c:v>132.24</c:v>
                </c:pt>
                <c:pt idx="171">
                  <c:v>132.99</c:v>
                </c:pt>
                <c:pt idx="172">
                  <c:v>133.72999999999999</c:v>
                </c:pt>
                <c:pt idx="173">
                  <c:v>134.47999999999999</c:v>
                </c:pt>
                <c:pt idx="174">
                  <c:v>135.25</c:v>
                </c:pt>
                <c:pt idx="175">
                  <c:v>136.02000000000001</c:v>
                </c:pt>
                <c:pt idx="176">
                  <c:v>136.86000000000001</c:v>
                </c:pt>
                <c:pt idx="177">
                  <c:v>137.72</c:v>
                </c:pt>
                <c:pt idx="178">
                  <c:v>138.61000000000001</c:v>
                </c:pt>
                <c:pt idx="179">
                  <c:v>139.58000000000001</c:v>
                </c:pt>
                <c:pt idx="180">
                  <c:v>140.57</c:v>
                </c:pt>
                <c:pt idx="181">
                  <c:v>141.68</c:v>
                </c:pt>
                <c:pt idx="182">
                  <c:v>142.78</c:v>
                </c:pt>
                <c:pt idx="183">
                  <c:v>143.97999999999999</c:v>
                </c:pt>
                <c:pt idx="184">
                  <c:v>145.29</c:v>
                </c:pt>
                <c:pt idx="185">
                  <c:v>146.65</c:v>
                </c:pt>
                <c:pt idx="186">
                  <c:v>148.22999999999999</c:v>
                </c:pt>
                <c:pt idx="187">
                  <c:v>149.80000000000001</c:v>
                </c:pt>
                <c:pt idx="188">
                  <c:v>151.44999999999999</c:v>
                </c:pt>
                <c:pt idx="189">
                  <c:v>153.18</c:v>
                </c:pt>
                <c:pt idx="190">
                  <c:v>154.91999999999999</c:v>
                </c:pt>
                <c:pt idx="191">
                  <c:v>156.65</c:v>
                </c:pt>
              </c:numCache>
            </c:numRef>
          </c:yVal>
          <c:smooth val="1"/>
          <c:extLst>
            <c:ext xmlns:c16="http://schemas.microsoft.com/office/drawing/2014/chart" uri="{C3380CC4-5D6E-409C-BE32-E72D297353CC}">
              <c16:uniqueId val="{00000001-0EF7-2642-BBEB-D5F2FDDC4677}"/>
            </c:ext>
          </c:extLst>
        </c:ser>
        <c:dLbls>
          <c:showLegendKey val="0"/>
          <c:showVal val="0"/>
          <c:showCatName val="0"/>
          <c:showSerName val="0"/>
          <c:showPercent val="0"/>
          <c:showBubbleSize val="0"/>
        </c:dLbls>
        <c:axId val="21689424"/>
        <c:axId val="21746976"/>
      </c:scatterChart>
      <c:valAx>
        <c:axId val="21689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46976"/>
        <c:crosses val="autoZero"/>
        <c:crossBetween val="midCat"/>
      </c:valAx>
      <c:valAx>
        <c:axId val="21746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894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'Task 2'!$G$1</c:f>
              <c:strCache>
                <c:ptCount val="1"/>
                <c:pt idx="0">
                  <c:v>CO2 (ppmv)</c:v>
                </c:pt>
              </c:strCache>
            </c:strRef>
          </c:tx>
          <c:spPr>
            <a:ln w="19050" cap="rnd">
              <a:solidFill>
                <a:schemeClr val="accent1"/>
              </a:solidFill>
              <a:round/>
            </a:ln>
            <a:effectLst/>
          </c:spPr>
          <c:marker>
            <c:symbol val="none"/>
          </c:marker>
          <c:xVal>
            <c:numRef>
              <c:f>'Task 2'!$E$2:$E$193</c:f>
              <c:numCache>
                <c:formatCode>General</c:formatCode>
                <c:ptCount val="192"/>
                <c:pt idx="0">
                  <c:v>2.66</c:v>
                </c:pt>
                <c:pt idx="1">
                  <c:v>3.04</c:v>
                </c:pt>
                <c:pt idx="2">
                  <c:v>3.41</c:v>
                </c:pt>
                <c:pt idx="3">
                  <c:v>3.82</c:v>
                </c:pt>
                <c:pt idx="4">
                  <c:v>4.25</c:v>
                </c:pt>
                <c:pt idx="5">
                  <c:v>4.67</c:v>
                </c:pt>
                <c:pt idx="6">
                  <c:v>5.09</c:v>
                </c:pt>
                <c:pt idx="7">
                  <c:v>5.52</c:v>
                </c:pt>
                <c:pt idx="8">
                  <c:v>5.94</c:v>
                </c:pt>
                <c:pt idx="9">
                  <c:v>6.36</c:v>
                </c:pt>
                <c:pt idx="10">
                  <c:v>6.79</c:v>
                </c:pt>
                <c:pt idx="11">
                  <c:v>7.23</c:v>
                </c:pt>
                <c:pt idx="12">
                  <c:v>7.68</c:v>
                </c:pt>
                <c:pt idx="13">
                  <c:v>8.1300000000000008</c:v>
                </c:pt>
                <c:pt idx="14">
                  <c:v>8.58</c:v>
                </c:pt>
                <c:pt idx="15">
                  <c:v>9.02</c:v>
                </c:pt>
                <c:pt idx="16">
                  <c:v>9.52</c:v>
                </c:pt>
                <c:pt idx="17">
                  <c:v>10.039999999999999</c:v>
                </c:pt>
                <c:pt idx="18">
                  <c:v>10.56</c:v>
                </c:pt>
                <c:pt idx="19">
                  <c:v>11.08</c:v>
                </c:pt>
                <c:pt idx="20">
                  <c:v>11.6</c:v>
                </c:pt>
                <c:pt idx="21">
                  <c:v>12.12</c:v>
                </c:pt>
                <c:pt idx="22">
                  <c:v>12.64</c:v>
                </c:pt>
                <c:pt idx="23">
                  <c:v>13.22</c:v>
                </c:pt>
                <c:pt idx="24">
                  <c:v>13.87</c:v>
                </c:pt>
                <c:pt idx="25">
                  <c:v>14.52</c:v>
                </c:pt>
                <c:pt idx="26">
                  <c:v>15.18</c:v>
                </c:pt>
                <c:pt idx="27">
                  <c:v>15.83</c:v>
                </c:pt>
                <c:pt idx="28">
                  <c:v>16.54</c:v>
                </c:pt>
                <c:pt idx="29">
                  <c:v>17.34</c:v>
                </c:pt>
                <c:pt idx="30">
                  <c:v>18.149999999999999</c:v>
                </c:pt>
                <c:pt idx="31">
                  <c:v>18.95</c:v>
                </c:pt>
                <c:pt idx="32">
                  <c:v>19.75</c:v>
                </c:pt>
                <c:pt idx="33">
                  <c:v>20.58</c:v>
                </c:pt>
                <c:pt idx="34">
                  <c:v>21.42</c:v>
                </c:pt>
                <c:pt idx="35">
                  <c:v>22.27</c:v>
                </c:pt>
                <c:pt idx="36">
                  <c:v>23.11</c:v>
                </c:pt>
                <c:pt idx="37">
                  <c:v>23.96</c:v>
                </c:pt>
                <c:pt idx="38">
                  <c:v>24.81</c:v>
                </c:pt>
                <c:pt idx="39">
                  <c:v>25.66</c:v>
                </c:pt>
                <c:pt idx="40">
                  <c:v>26.51</c:v>
                </c:pt>
                <c:pt idx="41">
                  <c:v>27.36</c:v>
                </c:pt>
                <c:pt idx="42">
                  <c:v>28.21</c:v>
                </c:pt>
                <c:pt idx="43">
                  <c:v>29.05</c:v>
                </c:pt>
                <c:pt idx="44">
                  <c:v>29.89</c:v>
                </c:pt>
                <c:pt idx="45">
                  <c:v>30.72</c:v>
                </c:pt>
                <c:pt idx="46">
                  <c:v>31.53</c:v>
                </c:pt>
                <c:pt idx="47">
                  <c:v>32.35</c:v>
                </c:pt>
                <c:pt idx="48">
                  <c:v>33.15</c:v>
                </c:pt>
                <c:pt idx="49">
                  <c:v>33.950000000000003</c:v>
                </c:pt>
                <c:pt idx="50">
                  <c:v>34.74</c:v>
                </c:pt>
                <c:pt idx="51">
                  <c:v>35.520000000000003</c:v>
                </c:pt>
                <c:pt idx="52">
                  <c:v>36.299999999999997</c:v>
                </c:pt>
                <c:pt idx="53">
                  <c:v>37.08</c:v>
                </c:pt>
                <c:pt idx="54">
                  <c:v>37.86</c:v>
                </c:pt>
                <c:pt idx="55">
                  <c:v>38.64</c:v>
                </c:pt>
                <c:pt idx="56">
                  <c:v>39.4</c:v>
                </c:pt>
                <c:pt idx="57">
                  <c:v>40.159999999999997</c:v>
                </c:pt>
                <c:pt idx="58">
                  <c:v>40.92</c:v>
                </c:pt>
                <c:pt idx="59">
                  <c:v>41.68</c:v>
                </c:pt>
                <c:pt idx="60">
                  <c:v>42.44</c:v>
                </c:pt>
                <c:pt idx="61">
                  <c:v>43.2</c:v>
                </c:pt>
                <c:pt idx="62">
                  <c:v>43.96</c:v>
                </c:pt>
                <c:pt idx="63">
                  <c:v>44.71</c:v>
                </c:pt>
                <c:pt idx="64">
                  <c:v>45.47</c:v>
                </c:pt>
                <c:pt idx="65">
                  <c:v>46.22</c:v>
                </c:pt>
                <c:pt idx="66">
                  <c:v>46.97</c:v>
                </c:pt>
                <c:pt idx="67">
                  <c:v>47.72</c:v>
                </c:pt>
                <c:pt idx="68">
                  <c:v>48.47</c:v>
                </c:pt>
                <c:pt idx="69">
                  <c:v>49.21</c:v>
                </c:pt>
                <c:pt idx="70">
                  <c:v>49.96</c:v>
                </c:pt>
                <c:pt idx="71">
                  <c:v>50.71</c:v>
                </c:pt>
                <c:pt idx="72">
                  <c:v>51.45</c:v>
                </c:pt>
                <c:pt idx="73">
                  <c:v>52.2</c:v>
                </c:pt>
                <c:pt idx="74">
                  <c:v>52.95</c:v>
                </c:pt>
                <c:pt idx="75">
                  <c:v>53.7</c:v>
                </c:pt>
                <c:pt idx="76">
                  <c:v>54.47</c:v>
                </c:pt>
                <c:pt idx="77">
                  <c:v>55.25</c:v>
                </c:pt>
                <c:pt idx="78">
                  <c:v>56.04</c:v>
                </c:pt>
                <c:pt idx="79">
                  <c:v>56.84</c:v>
                </c:pt>
                <c:pt idx="80">
                  <c:v>57.65</c:v>
                </c:pt>
                <c:pt idx="81">
                  <c:v>58.47</c:v>
                </c:pt>
                <c:pt idx="82">
                  <c:v>59.3</c:v>
                </c:pt>
                <c:pt idx="83">
                  <c:v>60.14</c:v>
                </c:pt>
                <c:pt idx="84">
                  <c:v>61</c:v>
                </c:pt>
                <c:pt idx="85">
                  <c:v>61.86</c:v>
                </c:pt>
                <c:pt idx="86">
                  <c:v>62.75</c:v>
                </c:pt>
                <c:pt idx="87">
                  <c:v>63.65</c:v>
                </c:pt>
                <c:pt idx="88">
                  <c:v>64.540000000000006</c:v>
                </c:pt>
                <c:pt idx="89">
                  <c:v>65.430000000000007</c:v>
                </c:pt>
                <c:pt idx="90">
                  <c:v>66.33</c:v>
                </c:pt>
                <c:pt idx="91">
                  <c:v>67.2</c:v>
                </c:pt>
                <c:pt idx="92">
                  <c:v>68.069999999999993</c:v>
                </c:pt>
                <c:pt idx="93">
                  <c:v>68.94</c:v>
                </c:pt>
                <c:pt idx="94">
                  <c:v>69.790000000000006</c:v>
                </c:pt>
                <c:pt idx="95">
                  <c:v>70.650000000000006</c:v>
                </c:pt>
                <c:pt idx="96">
                  <c:v>71.489999999999995</c:v>
                </c:pt>
                <c:pt idx="97">
                  <c:v>72.34</c:v>
                </c:pt>
                <c:pt idx="98">
                  <c:v>73.17</c:v>
                </c:pt>
                <c:pt idx="99">
                  <c:v>74</c:v>
                </c:pt>
                <c:pt idx="100">
                  <c:v>74.83</c:v>
                </c:pt>
                <c:pt idx="101">
                  <c:v>75.64</c:v>
                </c:pt>
                <c:pt idx="102">
                  <c:v>76.45</c:v>
                </c:pt>
                <c:pt idx="103">
                  <c:v>77.260000000000005</c:v>
                </c:pt>
                <c:pt idx="104">
                  <c:v>78.06</c:v>
                </c:pt>
                <c:pt idx="105">
                  <c:v>78.849999999999994</c:v>
                </c:pt>
                <c:pt idx="106">
                  <c:v>79.650000000000006</c:v>
                </c:pt>
                <c:pt idx="107">
                  <c:v>80.45</c:v>
                </c:pt>
                <c:pt idx="108">
                  <c:v>81.22</c:v>
                </c:pt>
                <c:pt idx="109">
                  <c:v>81.96</c:v>
                </c:pt>
                <c:pt idx="110">
                  <c:v>82.71</c:v>
                </c:pt>
                <c:pt idx="111">
                  <c:v>83.52</c:v>
                </c:pt>
                <c:pt idx="112">
                  <c:v>84.35</c:v>
                </c:pt>
                <c:pt idx="113">
                  <c:v>85.16</c:v>
                </c:pt>
                <c:pt idx="114">
                  <c:v>85.95</c:v>
                </c:pt>
                <c:pt idx="115">
                  <c:v>86.74</c:v>
                </c:pt>
                <c:pt idx="116">
                  <c:v>87.53</c:v>
                </c:pt>
                <c:pt idx="117">
                  <c:v>88.32</c:v>
                </c:pt>
                <c:pt idx="118">
                  <c:v>89.12</c:v>
                </c:pt>
                <c:pt idx="119">
                  <c:v>89.91</c:v>
                </c:pt>
                <c:pt idx="120">
                  <c:v>90.71</c:v>
                </c:pt>
                <c:pt idx="121">
                  <c:v>91.51</c:v>
                </c:pt>
                <c:pt idx="122">
                  <c:v>92.31</c:v>
                </c:pt>
                <c:pt idx="123">
                  <c:v>93.12</c:v>
                </c:pt>
                <c:pt idx="124">
                  <c:v>93.93</c:v>
                </c:pt>
                <c:pt idx="125">
                  <c:v>94.74</c:v>
                </c:pt>
                <c:pt idx="126">
                  <c:v>95.55</c:v>
                </c:pt>
                <c:pt idx="127">
                  <c:v>96.36</c:v>
                </c:pt>
                <c:pt idx="128">
                  <c:v>97.18</c:v>
                </c:pt>
                <c:pt idx="129">
                  <c:v>98</c:v>
                </c:pt>
                <c:pt idx="130">
                  <c:v>98.83</c:v>
                </c:pt>
                <c:pt idx="131">
                  <c:v>99.67</c:v>
                </c:pt>
                <c:pt idx="132">
                  <c:v>100.52</c:v>
                </c:pt>
                <c:pt idx="133">
                  <c:v>101.39</c:v>
                </c:pt>
                <c:pt idx="134">
                  <c:v>102.28</c:v>
                </c:pt>
                <c:pt idx="135">
                  <c:v>103.17</c:v>
                </c:pt>
                <c:pt idx="136">
                  <c:v>104.1</c:v>
                </c:pt>
                <c:pt idx="137">
                  <c:v>105.03</c:v>
                </c:pt>
                <c:pt idx="138">
                  <c:v>105.98</c:v>
                </c:pt>
                <c:pt idx="139">
                  <c:v>106.96</c:v>
                </c:pt>
                <c:pt idx="140">
                  <c:v>107.95</c:v>
                </c:pt>
                <c:pt idx="141">
                  <c:v>108.97</c:v>
                </c:pt>
                <c:pt idx="142">
                  <c:v>109.98</c:v>
                </c:pt>
                <c:pt idx="143">
                  <c:v>110.97</c:v>
                </c:pt>
                <c:pt idx="144">
                  <c:v>111.93</c:v>
                </c:pt>
                <c:pt idx="145">
                  <c:v>112.88</c:v>
                </c:pt>
                <c:pt idx="146">
                  <c:v>113.79</c:v>
                </c:pt>
                <c:pt idx="147">
                  <c:v>114.7</c:v>
                </c:pt>
                <c:pt idx="148">
                  <c:v>115.59</c:v>
                </c:pt>
                <c:pt idx="149">
                  <c:v>116.46</c:v>
                </c:pt>
                <c:pt idx="150">
                  <c:v>117.32</c:v>
                </c:pt>
                <c:pt idx="151">
                  <c:v>118.15</c:v>
                </c:pt>
                <c:pt idx="152">
                  <c:v>118.97</c:v>
                </c:pt>
                <c:pt idx="153">
                  <c:v>119.78</c:v>
                </c:pt>
                <c:pt idx="154">
                  <c:v>120.57</c:v>
                </c:pt>
                <c:pt idx="155">
                  <c:v>121.36</c:v>
                </c:pt>
                <c:pt idx="156">
                  <c:v>122.12</c:v>
                </c:pt>
                <c:pt idx="157">
                  <c:v>122.87</c:v>
                </c:pt>
                <c:pt idx="158">
                  <c:v>123.61</c:v>
                </c:pt>
                <c:pt idx="159">
                  <c:v>124.33</c:v>
                </c:pt>
                <c:pt idx="160">
                  <c:v>125.04</c:v>
                </c:pt>
                <c:pt idx="161">
                  <c:v>125.76</c:v>
                </c:pt>
                <c:pt idx="162">
                  <c:v>126.48</c:v>
                </c:pt>
                <c:pt idx="163">
                  <c:v>127.19</c:v>
                </c:pt>
                <c:pt idx="164">
                  <c:v>127.9</c:v>
                </c:pt>
                <c:pt idx="165">
                  <c:v>128.61000000000001</c:v>
                </c:pt>
                <c:pt idx="166">
                  <c:v>129.33000000000001</c:v>
                </c:pt>
                <c:pt idx="167">
                  <c:v>130.05000000000001</c:v>
                </c:pt>
                <c:pt idx="168">
                  <c:v>130.78</c:v>
                </c:pt>
                <c:pt idx="169">
                  <c:v>131.51</c:v>
                </c:pt>
                <c:pt idx="170">
                  <c:v>132.24</c:v>
                </c:pt>
                <c:pt idx="171">
                  <c:v>132.99</c:v>
                </c:pt>
                <c:pt idx="172">
                  <c:v>133.72999999999999</c:v>
                </c:pt>
                <c:pt idx="173">
                  <c:v>134.47999999999999</c:v>
                </c:pt>
                <c:pt idx="174">
                  <c:v>135.25</c:v>
                </c:pt>
                <c:pt idx="175">
                  <c:v>136.02000000000001</c:v>
                </c:pt>
                <c:pt idx="176">
                  <c:v>136.86000000000001</c:v>
                </c:pt>
                <c:pt idx="177">
                  <c:v>137.72</c:v>
                </c:pt>
                <c:pt idx="178">
                  <c:v>138.61000000000001</c:v>
                </c:pt>
                <c:pt idx="179">
                  <c:v>139.58000000000001</c:v>
                </c:pt>
                <c:pt idx="180">
                  <c:v>140.57</c:v>
                </c:pt>
                <c:pt idx="181">
                  <c:v>141.68</c:v>
                </c:pt>
                <c:pt idx="182">
                  <c:v>142.78</c:v>
                </c:pt>
                <c:pt idx="183">
                  <c:v>143.97999999999999</c:v>
                </c:pt>
                <c:pt idx="184">
                  <c:v>145.29</c:v>
                </c:pt>
                <c:pt idx="185">
                  <c:v>146.65</c:v>
                </c:pt>
                <c:pt idx="186">
                  <c:v>148.22999999999999</c:v>
                </c:pt>
                <c:pt idx="187">
                  <c:v>149.80000000000001</c:v>
                </c:pt>
                <c:pt idx="188">
                  <c:v>151.44999999999999</c:v>
                </c:pt>
                <c:pt idx="189">
                  <c:v>153.18</c:v>
                </c:pt>
                <c:pt idx="190">
                  <c:v>154.91999999999999</c:v>
                </c:pt>
                <c:pt idx="191">
                  <c:v>156.65</c:v>
                </c:pt>
              </c:numCache>
            </c:numRef>
          </c:xVal>
          <c:yVal>
            <c:numRef>
              <c:f>'Task 2'!$G$2:$G$193</c:f>
              <c:numCache>
                <c:formatCode>General</c:formatCode>
                <c:ptCount val="192"/>
                <c:pt idx="0">
                  <c:v>272.14</c:v>
                </c:pt>
                <c:pt idx="1">
                  <c:v>271.22000000000003</c:v>
                </c:pt>
                <c:pt idx="2">
                  <c:v>270.29000000000002</c:v>
                </c:pt>
                <c:pt idx="3">
                  <c:v>268.39</c:v>
                </c:pt>
                <c:pt idx="4">
                  <c:v>266.06</c:v>
                </c:pt>
                <c:pt idx="5">
                  <c:v>263.73</c:v>
                </c:pt>
                <c:pt idx="6">
                  <c:v>261.39999999999998</c:v>
                </c:pt>
                <c:pt idx="7">
                  <c:v>259.06</c:v>
                </c:pt>
                <c:pt idx="8">
                  <c:v>256.73</c:v>
                </c:pt>
                <c:pt idx="9">
                  <c:v>254.4</c:v>
                </c:pt>
                <c:pt idx="10">
                  <c:v>252.07</c:v>
                </c:pt>
                <c:pt idx="11">
                  <c:v>255.09</c:v>
                </c:pt>
                <c:pt idx="12">
                  <c:v>257.22000000000003</c:v>
                </c:pt>
                <c:pt idx="13">
                  <c:v>257.77</c:v>
                </c:pt>
                <c:pt idx="14">
                  <c:v>258.31</c:v>
                </c:pt>
                <c:pt idx="15">
                  <c:v>258.86</c:v>
                </c:pt>
                <c:pt idx="16">
                  <c:v>257.58</c:v>
                </c:pt>
                <c:pt idx="17">
                  <c:v>255.66</c:v>
                </c:pt>
                <c:pt idx="18">
                  <c:v>253.75</c:v>
                </c:pt>
                <c:pt idx="19">
                  <c:v>251.83</c:v>
                </c:pt>
                <c:pt idx="20">
                  <c:v>249.91</c:v>
                </c:pt>
                <c:pt idx="21">
                  <c:v>247.99</c:v>
                </c:pt>
                <c:pt idx="22">
                  <c:v>246.07</c:v>
                </c:pt>
                <c:pt idx="23">
                  <c:v>240.5</c:v>
                </c:pt>
                <c:pt idx="24">
                  <c:v>230.26</c:v>
                </c:pt>
                <c:pt idx="25">
                  <c:v>220.02</c:v>
                </c:pt>
                <c:pt idx="26">
                  <c:v>209.79</c:v>
                </c:pt>
                <c:pt idx="27">
                  <c:v>199.55</c:v>
                </c:pt>
                <c:pt idx="28">
                  <c:v>193.11</c:v>
                </c:pt>
                <c:pt idx="29">
                  <c:v>193.43</c:v>
                </c:pt>
                <c:pt idx="30">
                  <c:v>193.74</c:v>
                </c:pt>
                <c:pt idx="31">
                  <c:v>194.05</c:v>
                </c:pt>
                <c:pt idx="32">
                  <c:v>194.37</c:v>
                </c:pt>
                <c:pt idx="33">
                  <c:v>195.13</c:v>
                </c:pt>
                <c:pt idx="34">
                  <c:v>196.21</c:v>
                </c:pt>
                <c:pt idx="35">
                  <c:v>197.29</c:v>
                </c:pt>
                <c:pt idx="36">
                  <c:v>198.37</c:v>
                </c:pt>
                <c:pt idx="37">
                  <c:v>199.45</c:v>
                </c:pt>
                <c:pt idx="38">
                  <c:v>199.81</c:v>
                </c:pt>
                <c:pt idx="39">
                  <c:v>199.41</c:v>
                </c:pt>
                <c:pt idx="40">
                  <c:v>199.02</c:v>
                </c:pt>
                <c:pt idx="41">
                  <c:v>198.63</c:v>
                </c:pt>
                <c:pt idx="42">
                  <c:v>198.24</c:v>
                </c:pt>
                <c:pt idx="43">
                  <c:v>201.8</c:v>
                </c:pt>
                <c:pt idx="44">
                  <c:v>211.31</c:v>
                </c:pt>
                <c:pt idx="45">
                  <c:v>220.81</c:v>
                </c:pt>
                <c:pt idx="46">
                  <c:v>217.71</c:v>
                </c:pt>
                <c:pt idx="47">
                  <c:v>210.85</c:v>
                </c:pt>
                <c:pt idx="48">
                  <c:v>207.51</c:v>
                </c:pt>
                <c:pt idx="49">
                  <c:v>208.66</c:v>
                </c:pt>
                <c:pt idx="50">
                  <c:v>209.82</c:v>
                </c:pt>
                <c:pt idx="51">
                  <c:v>209.48</c:v>
                </c:pt>
                <c:pt idx="52">
                  <c:v>208.87</c:v>
                </c:pt>
                <c:pt idx="53">
                  <c:v>208.25</c:v>
                </c:pt>
                <c:pt idx="54">
                  <c:v>207.63</c:v>
                </c:pt>
                <c:pt idx="55">
                  <c:v>207.02</c:v>
                </c:pt>
                <c:pt idx="56">
                  <c:v>201.24</c:v>
                </c:pt>
                <c:pt idx="57">
                  <c:v>195.3</c:v>
                </c:pt>
                <c:pt idx="58">
                  <c:v>189.37</c:v>
                </c:pt>
                <c:pt idx="59">
                  <c:v>183.43</c:v>
                </c:pt>
                <c:pt idx="60">
                  <c:v>179.86</c:v>
                </c:pt>
                <c:pt idx="61">
                  <c:v>187.85</c:v>
                </c:pt>
                <c:pt idx="62">
                  <c:v>195.84</c:v>
                </c:pt>
                <c:pt idx="63">
                  <c:v>201.49</c:v>
                </c:pt>
                <c:pt idx="64">
                  <c:v>204.6</c:v>
                </c:pt>
                <c:pt idx="65">
                  <c:v>207.7</c:v>
                </c:pt>
                <c:pt idx="66">
                  <c:v>206.42</c:v>
                </c:pt>
                <c:pt idx="67">
                  <c:v>205.15</c:v>
                </c:pt>
                <c:pt idx="68">
                  <c:v>203.87</c:v>
                </c:pt>
                <c:pt idx="69">
                  <c:v>202.6</c:v>
                </c:pt>
                <c:pt idx="70">
                  <c:v>201.32</c:v>
                </c:pt>
                <c:pt idx="71">
                  <c:v>201</c:v>
                </c:pt>
                <c:pt idx="72">
                  <c:v>201</c:v>
                </c:pt>
                <c:pt idx="73">
                  <c:v>204.78</c:v>
                </c:pt>
                <c:pt idx="74">
                  <c:v>211.41</c:v>
                </c:pt>
                <c:pt idx="75">
                  <c:v>218.04</c:v>
                </c:pt>
                <c:pt idx="76">
                  <c:v>217.91</c:v>
                </c:pt>
                <c:pt idx="77">
                  <c:v>215.88</c:v>
                </c:pt>
                <c:pt idx="78">
                  <c:v>213.48</c:v>
                </c:pt>
                <c:pt idx="79">
                  <c:v>210.29</c:v>
                </c:pt>
                <c:pt idx="80">
                  <c:v>207.11</c:v>
                </c:pt>
                <c:pt idx="81">
                  <c:v>204.63</c:v>
                </c:pt>
                <c:pt idx="82">
                  <c:v>202.32</c:v>
                </c:pt>
                <c:pt idx="83">
                  <c:v>199.56</c:v>
                </c:pt>
                <c:pt idx="84">
                  <c:v>196.2</c:v>
                </c:pt>
                <c:pt idx="85">
                  <c:v>192.84</c:v>
                </c:pt>
                <c:pt idx="86">
                  <c:v>192.36</c:v>
                </c:pt>
                <c:pt idx="87">
                  <c:v>192.83</c:v>
                </c:pt>
                <c:pt idx="88">
                  <c:v>195.81</c:v>
                </c:pt>
                <c:pt idx="89">
                  <c:v>200.14</c:v>
                </c:pt>
                <c:pt idx="90">
                  <c:v>204.46</c:v>
                </c:pt>
                <c:pt idx="91">
                  <c:v>212.63</c:v>
                </c:pt>
                <c:pt idx="92">
                  <c:v>222</c:v>
                </c:pt>
                <c:pt idx="93">
                  <c:v>229.73</c:v>
                </c:pt>
                <c:pt idx="94">
                  <c:v>235.93</c:v>
                </c:pt>
                <c:pt idx="95">
                  <c:v>242.13</c:v>
                </c:pt>
                <c:pt idx="96">
                  <c:v>239.98</c:v>
                </c:pt>
                <c:pt idx="97">
                  <c:v>236.47</c:v>
                </c:pt>
                <c:pt idx="98">
                  <c:v>233.93</c:v>
                </c:pt>
                <c:pt idx="99">
                  <c:v>232.1</c:v>
                </c:pt>
                <c:pt idx="100">
                  <c:v>229.95</c:v>
                </c:pt>
                <c:pt idx="101">
                  <c:v>225.77</c:v>
                </c:pt>
                <c:pt idx="102">
                  <c:v>221.59</c:v>
                </c:pt>
                <c:pt idx="103">
                  <c:v>219.8</c:v>
                </c:pt>
                <c:pt idx="104">
                  <c:v>220.39</c:v>
                </c:pt>
                <c:pt idx="105">
                  <c:v>220.98</c:v>
                </c:pt>
                <c:pt idx="106">
                  <c:v>221.57</c:v>
                </c:pt>
                <c:pt idx="107">
                  <c:v>222.16</c:v>
                </c:pt>
                <c:pt idx="108">
                  <c:v>224.42</c:v>
                </c:pt>
                <c:pt idx="109">
                  <c:v>228.88</c:v>
                </c:pt>
                <c:pt idx="110">
                  <c:v>233.33</c:v>
                </c:pt>
                <c:pt idx="111">
                  <c:v>228.31</c:v>
                </c:pt>
                <c:pt idx="112">
                  <c:v>221.61</c:v>
                </c:pt>
                <c:pt idx="113">
                  <c:v>216.76</c:v>
                </c:pt>
                <c:pt idx="114">
                  <c:v>213.26</c:v>
                </c:pt>
                <c:pt idx="115">
                  <c:v>210.35</c:v>
                </c:pt>
                <c:pt idx="116">
                  <c:v>215.3</c:v>
                </c:pt>
                <c:pt idx="117">
                  <c:v>220.26</c:v>
                </c:pt>
                <c:pt idx="118">
                  <c:v>222.77</c:v>
                </c:pt>
                <c:pt idx="119">
                  <c:v>224.47</c:v>
                </c:pt>
                <c:pt idx="120">
                  <c:v>226.31</c:v>
                </c:pt>
                <c:pt idx="121">
                  <c:v>229.41</c:v>
                </c:pt>
                <c:pt idx="122">
                  <c:v>232.51</c:v>
                </c:pt>
                <c:pt idx="123">
                  <c:v>232.59</c:v>
                </c:pt>
                <c:pt idx="124">
                  <c:v>229.88</c:v>
                </c:pt>
                <c:pt idx="125">
                  <c:v>227.18</c:v>
                </c:pt>
                <c:pt idx="126">
                  <c:v>229.6</c:v>
                </c:pt>
                <c:pt idx="127">
                  <c:v>233.73</c:v>
                </c:pt>
                <c:pt idx="128">
                  <c:v>234.1</c:v>
                </c:pt>
                <c:pt idx="129">
                  <c:v>229.87</c:v>
                </c:pt>
                <c:pt idx="130">
                  <c:v>225.63</c:v>
                </c:pt>
                <c:pt idx="131">
                  <c:v>226.38</c:v>
                </c:pt>
                <c:pt idx="132">
                  <c:v>228.01</c:v>
                </c:pt>
                <c:pt idx="133">
                  <c:v>230.58</c:v>
                </c:pt>
                <c:pt idx="134">
                  <c:v>234.62</c:v>
                </c:pt>
                <c:pt idx="135">
                  <c:v>238.44</c:v>
                </c:pt>
                <c:pt idx="136">
                  <c:v>236.94</c:v>
                </c:pt>
                <c:pt idx="137">
                  <c:v>235.44</c:v>
                </c:pt>
                <c:pt idx="138">
                  <c:v>236.2</c:v>
                </c:pt>
                <c:pt idx="139">
                  <c:v>240.79</c:v>
                </c:pt>
                <c:pt idx="140">
                  <c:v>242.88</c:v>
                </c:pt>
                <c:pt idx="141">
                  <c:v>239.16</c:v>
                </c:pt>
                <c:pt idx="142">
                  <c:v>235.43</c:v>
                </c:pt>
                <c:pt idx="143">
                  <c:v>234.87</c:v>
                </c:pt>
                <c:pt idx="144">
                  <c:v>237.72</c:v>
                </c:pt>
                <c:pt idx="145">
                  <c:v>242.53</c:v>
                </c:pt>
                <c:pt idx="146">
                  <c:v>255.16</c:v>
                </c:pt>
                <c:pt idx="147">
                  <c:v>267.79000000000002</c:v>
                </c:pt>
                <c:pt idx="148">
                  <c:v>275.36</c:v>
                </c:pt>
                <c:pt idx="149">
                  <c:v>273.52</c:v>
                </c:pt>
                <c:pt idx="150">
                  <c:v>271.68</c:v>
                </c:pt>
                <c:pt idx="151">
                  <c:v>274.51</c:v>
                </c:pt>
                <c:pt idx="152">
                  <c:v>277.86</c:v>
                </c:pt>
                <c:pt idx="153">
                  <c:v>278.75</c:v>
                </c:pt>
                <c:pt idx="154">
                  <c:v>275.27999999999997</c:v>
                </c:pt>
                <c:pt idx="155">
                  <c:v>271.81</c:v>
                </c:pt>
                <c:pt idx="156">
                  <c:v>269.32</c:v>
                </c:pt>
                <c:pt idx="157">
                  <c:v>266.93</c:v>
                </c:pt>
                <c:pt idx="158">
                  <c:v>265.95999999999998</c:v>
                </c:pt>
                <c:pt idx="159">
                  <c:v>268.01</c:v>
                </c:pt>
                <c:pt idx="160">
                  <c:v>270.06</c:v>
                </c:pt>
                <c:pt idx="161">
                  <c:v>272.11</c:v>
                </c:pt>
                <c:pt idx="162">
                  <c:v>274.16000000000003</c:v>
                </c:pt>
                <c:pt idx="163">
                  <c:v>273.23</c:v>
                </c:pt>
                <c:pt idx="164">
                  <c:v>270.22000000000003</c:v>
                </c:pt>
                <c:pt idx="165">
                  <c:v>267.22000000000003</c:v>
                </c:pt>
                <c:pt idx="166">
                  <c:v>269.27</c:v>
                </c:pt>
                <c:pt idx="167">
                  <c:v>272.92</c:v>
                </c:pt>
                <c:pt idx="168">
                  <c:v>273.44</c:v>
                </c:pt>
                <c:pt idx="169">
                  <c:v>269.81</c:v>
                </c:pt>
                <c:pt idx="170">
                  <c:v>266.18</c:v>
                </c:pt>
                <c:pt idx="171">
                  <c:v>277.41000000000003</c:v>
                </c:pt>
                <c:pt idx="172">
                  <c:v>289.42</c:v>
                </c:pt>
                <c:pt idx="173">
                  <c:v>291.70999999999998</c:v>
                </c:pt>
                <c:pt idx="174">
                  <c:v>280.02</c:v>
                </c:pt>
                <c:pt idx="175">
                  <c:v>268.33999999999997</c:v>
                </c:pt>
                <c:pt idx="176">
                  <c:v>260</c:v>
                </c:pt>
                <c:pt idx="177">
                  <c:v>252.5</c:v>
                </c:pt>
                <c:pt idx="178">
                  <c:v>245</c:v>
                </c:pt>
                <c:pt idx="179">
                  <c:v>237.51</c:v>
                </c:pt>
                <c:pt idx="180">
                  <c:v>230.31</c:v>
                </c:pt>
                <c:pt idx="181">
                  <c:v>225.05</c:v>
                </c:pt>
                <c:pt idx="182">
                  <c:v>219.79</c:v>
                </c:pt>
                <c:pt idx="183">
                  <c:v>211.62</c:v>
                </c:pt>
                <c:pt idx="184">
                  <c:v>200.16</c:v>
                </c:pt>
                <c:pt idx="185">
                  <c:v>191.69</c:v>
                </c:pt>
                <c:pt idx="186">
                  <c:v>195.12</c:v>
                </c:pt>
                <c:pt idx="187">
                  <c:v>198.55</c:v>
                </c:pt>
                <c:pt idx="188">
                  <c:v>198.89</c:v>
                </c:pt>
                <c:pt idx="189">
                  <c:v>195.15</c:v>
                </c:pt>
                <c:pt idx="190">
                  <c:v>191.41</c:v>
                </c:pt>
                <c:pt idx="191">
                  <c:v>192.8</c:v>
                </c:pt>
              </c:numCache>
            </c:numRef>
          </c:yVal>
          <c:smooth val="1"/>
          <c:extLst>
            <c:ext xmlns:c16="http://schemas.microsoft.com/office/drawing/2014/chart" uri="{C3380CC4-5D6E-409C-BE32-E72D297353CC}">
              <c16:uniqueId val="{00000000-14D5-BA46-B68B-E4D8A54CC420}"/>
            </c:ext>
          </c:extLst>
        </c:ser>
        <c:dLbls>
          <c:showLegendKey val="0"/>
          <c:showVal val="0"/>
          <c:showCatName val="0"/>
          <c:showSerName val="0"/>
          <c:showPercent val="0"/>
          <c:showBubbleSize val="0"/>
        </c:dLbls>
        <c:axId val="389265920"/>
        <c:axId val="50380000"/>
      </c:scatterChart>
      <c:valAx>
        <c:axId val="389265920"/>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of 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80000"/>
        <c:crosses val="autoZero"/>
        <c:crossBetween val="midCat"/>
      </c:valAx>
      <c:valAx>
        <c:axId val="50380000"/>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C02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2659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'Task 2'!$F$1</c:f>
              <c:strCache>
                <c:ptCount val="1"/>
                <c:pt idx="0">
                  <c:v>Difference</c:v>
                </c:pt>
              </c:strCache>
            </c:strRef>
          </c:tx>
          <c:spPr>
            <a:ln w="28575" cap="rnd">
              <a:solidFill>
                <a:schemeClr val="accent1"/>
              </a:solidFill>
              <a:round/>
            </a:ln>
            <a:effectLst/>
          </c:spPr>
          <c:marker>
            <c:symbol val="none"/>
          </c:marker>
          <c:cat>
            <c:numRef>
              <c:f>'Task 2'!$C$2:$C$193</c:f>
              <c:numCache>
                <c:formatCode>General</c:formatCode>
                <c:ptCount val="192"/>
                <c:pt idx="0">
                  <c:v>150</c:v>
                </c:pt>
                <c:pt idx="1">
                  <c:v>160</c:v>
                </c:pt>
                <c:pt idx="2">
                  <c:v>170</c:v>
                </c:pt>
                <c:pt idx="3">
                  <c:v>180</c:v>
                </c:pt>
                <c:pt idx="4">
                  <c:v>190</c:v>
                </c:pt>
                <c:pt idx="5">
                  <c:v>200</c:v>
                </c:pt>
                <c:pt idx="6">
                  <c:v>210</c:v>
                </c:pt>
                <c:pt idx="7">
                  <c:v>220</c:v>
                </c:pt>
                <c:pt idx="8">
                  <c:v>230</c:v>
                </c:pt>
                <c:pt idx="9">
                  <c:v>240</c:v>
                </c:pt>
                <c:pt idx="10">
                  <c:v>250</c:v>
                </c:pt>
                <c:pt idx="11">
                  <c:v>260</c:v>
                </c:pt>
                <c:pt idx="12">
                  <c:v>270</c:v>
                </c:pt>
                <c:pt idx="13">
                  <c:v>280</c:v>
                </c:pt>
                <c:pt idx="14">
                  <c:v>290</c:v>
                </c:pt>
                <c:pt idx="15">
                  <c:v>300</c:v>
                </c:pt>
                <c:pt idx="16">
                  <c:v>310</c:v>
                </c:pt>
                <c:pt idx="17">
                  <c:v>320</c:v>
                </c:pt>
                <c:pt idx="18">
                  <c:v>330</c:v>
                </c:pt>
                <c:pt idx="19">
                  <c:v>340</c:v>
                </c:pt>
                <c:pt idx="20">
                  <c:v>350</c:v>
                </c:pt>
                <c:pt idx="21">
                  <c:v>360</c:v>
                </c:pt>
                <c:pt idx="22">
                  <c:v>370</c:v>
                </c:pt>
                <c:pt idx="23">
                  <c:v>380</c:v>
                </c:pt>
                <c:pt idx="24">
                  <c:v>390</c:v>
                </c:pt>
                <c:pt idx="25">
                  <c:v>400</c:v>
                </c:pt>
                <c:pt idx="26">
                  <c:v>410</c:v>
                </c:pt>
                <c:pt idx="27">
                  <c:v>420</c:v>
                </c:pt>
                <c:pt idx="28">
                  <c:v>430</c:v>
                </c:pt>
                <c:pt idx="29">
                  <c:v>440</c:v>
                </c:pt>
                <c:pt idx="30">
                  <c:v>450</c:v>
                </c:pt>
                <c:pt idx="31">
                  <c:v>460</c:v>
                </c:pt>
                <c:pt idx="32">
                  <c:v>470</c:v>
                </c:pt>
                <c:pt idx="33">
                  <c:v>480</c:v>
                </c:pt>
                <c:pt idx="34">
                  <c:v>490</c:v>
                </c:pt>
                <c:pt idx="35">
                  <c:v>500</c:v>
                </c:pt>
                <c:pt idx="36">
                  <c:v>510</c:v>
                </c:pt>
                <c:pt idx="37">
                  <c:v>520</c:v>
                </c:pt>
                <c:pt idx="38">
                  <c:v>530</c:v>
                </c:pt>
                <c:pt idx="39">
                  <c:v>540</c:v>
                </c:pt>
                <c:pt idx="40">
                  <c:v>550</c:v>
                </c:pt>
                <c:pt idx="41">
                  <c:v>560</c:v>
                </c:pt>
                <c:pt idx="42">
                  <c:v>570</c:v>
                </c:pt>
                <c:pt idx="43">
                  <c:v>580</c:v>
                </c:pt>
                <c:pt idx="44">
                  <c:v>590</c:v>
                </c:pt>
                <c:pt idx="45">
                  <c:v>600</c:v>
                </c:pt>
                <c:pt idx="46">
                  <c:v>610</c:v>
                </c:pt>
                <c:pt idx="47">
                  <c:v>620</c:v>
                </c:pt>
                <c:pt idx="48">
                  <c:v>630</c:v>
                </c:pt>
                <c:pt idx="49">
                  <c:v>640</c:v>
                </c:pt>
                <c:pt idx="50">
                  <c:v>650</c:v>
                </c:pt>
                <c:pt idx="51">
                  <c:v>660</c:v>
                </c:pt>
                <c:pt idx="52">
                  <c:v>670</c:v>
                </c:pt>
                <c:pt idx="53">
                  <c:v>680</c:v>
                </c:pt>
                <c:pt idx="54">
                  <c:v>690</c:v>
                </c:pt>
                <c:pt idx="55">
                  <c:v>700</c:v>
                </c:pt>
                <c:pt idx="56">
                  <c:v>710</c:v>
                </c:pt>
                <c:pt idx="57">
                  <c:v>720</c:v>
                </c:pt>
                <c:pt idx="58">
                  <c:v>730</c:v>
                </c:pt>
                <c:pt idx="59">
                  <c:v>740</c:v>
                </c:pt>
                <c:pt idx="60">
                  <c:v>750</c:v>
                </c:pt>
                <c:pt idx="61">
                  <c:v>760</c:v>
                </c:pt>
                <c:pt idx="62">
                  <c:v>770</c:v>
                </c:pt>
                <c:pt idx="63">
                  <c:v>780</c:v>
                </c:pt>
                <c:pt idx="64">
                  <c:v>790</c:v>
                </c:pt>
                <c:pt idx="65">
                  <c:v>800</c:v>
                </c:pt>
                <c:pt idx="66">
                  <c:v>810</c:v>
                </c:pt>
                <c:pt idx="67">
                  <c:v>820</c:v>
                </c:pt>
                <c:pt idx="68">
                  <c:v>830</c:v>
                </c:pt>
                <c:pt idx="69">
                  <c:v>840</c:v>
                </c:pt>
                <c:pt idx="70">
                  <c:v>850</c:v>
                </c:pt>
                <c:pt idx="71">
                  <c:v>860</c:v>
                </c:pt>
                <c:pt idx="72">
                  <c:v>870</c:v>
                </c:pt>
                <c:pt idx="73">
                  <c:v>880</c:v>
                </c:pt>
                <c:pt idx="74">
                  <c:v>890</c:v>
                </c:pt>
                <c:pt idx="75">
                  <c:v>900</c:v>
                </c:pt>
                <c:pt idx="76">
                  <c:v>910</c:v>
                </c:pt>
                <c:pt idx="77">
                  <c:v>920</c:v>
                </c:pt>
                <c:pt idx="78">
                  <c:v>930</c:v>
                </c:pt>
                <c:pt idx="79">
                  <c:v>940</c:v>
                </c:pt>
                <c:pt idx="80">
                  <c:v>950</c:v>
                </c:pt>
                <c:pt idx="81">
                  <c:v>960</c:v>
                </c:pt>
                <c:pt idx="82">
                  <c:v>970</c:v>
                </c:pt>
                <c:pt idx="83">
                  <c:v>980</c:v>
                </c:pt>
                <c:pt idx="84">
                  <c:v>990</c:v>
                </c:pt>
                <c:pt idx="85">
                  <c:v>1000</c:v>
                </c:pt>
                <c:pt idx="86">
                  <c:v>1010</c:v>
                </c:pt>
                <c:pt idx="87">
                  <c:v>1020</c:v>
                </c:pt>
                <c:pt idx="88">
                  <c:v>1030</c:v>
                </c:pt>
                <c:pt idx="89">
                  <c:v>1040</c:v>
                </c:pt>
                <c:pt idx="90">
                  <c:v>1050</c:v>
                </c:pt>
                <c:pt idx="91">
                  <c:v>1060</c:v>
                </c:pt>
                <c:pt idx="92">
                  <c:v>1070</c:v>
                </c:pt>
                <c:pt idx="93">
                  <c:v>1080</c:v>
                </c:pt>
                <c:pt idx="94">
                  <c:v>1090</c:v>
                </c:pt>
                <c:pt idx="95">
                  <c:v>1100</c:v>
                </c:pt>
                <c:pt idx="96">
                  <c:v>1110</c:v>
                </c:pt>
                <c:pt idx="97">
                  <c:v>1120</c:v>
                </c:pt>
                <c:pt idx="98">
                  <c:v>1130</c:v>
                </c:pt>
                <c:pt idx="99">
                  <c:v>1140</c:v>
                </c:pt>
                <c:pt idx="100">
                  <c:v>1150</c:v>
                </c:pt>
                <c:pt idx="101">
                  <c:v>1160</c:v>
                </c:pt>
                <c:pt idx="102">
                  <c:v>1170</c:v>
                </c:pt>
                <c:pt idx="103">
                  <c:v>1180</c:v>
                </c:pt>
                <c:pt idx="104">
                  <c:v>1190</c:v>
                </c:pt>
                <c:pt idx="105">
                  <c:v>1200</c:v>
                </c:pt>
                <c:pt idx="106">
                  <c:v>1210</c:v>
                </c:pt>
                <c:pt idx="107">
                  <c:v>1220</c:v>
                </c:pt>
                <c:pt idx="108">
                  <c:v>1230</c:v>
                </c:pt>
                <c:pt idx="109">
                  <c:v>1240</c:v>
                </c:pt>
                <c:pt idx="110">
                  <c:v>1250</c:v>
                </c:pt>
                <c:pt idx="111">
                  <c:v>1260</c:v>
                </c:pt>
                <c:pt idx="112">
                  <c:v>1270</c:v>
                </c:pt>
                <c:pt idx="113">
                  <c:v>1280</c:v>
                </c:pt>
                <c:pt idx="114">
                  <c:v>1290</c:v>
                </c:pt>
                <c:pt idx="115">
                  <c:v>1300</c:v>
                </c:pt>
                <c:pt idx="116">
                  <c:v>1310</c:v>
                </c:pt>
                <c:pt idx="117">
                  <c:v>1320</c:v>
                </c:pt>
                <c:pt idx="118">
                  <c:v>1330</c:v>
                </c:pt>
                <c:pt idx="119">
                  <c:v>1340</c:v>
                </c:pt>
                <c:pt idx="120">
                  <c:v>1350</c:v>
                </c:pt>
                <c:pt idx="121">
                  <c:v>1360</c:v>
                </c:pt>
                <c:pt idx="122">
                  <c:v>1370</c:v>
                </c:pt>
                <c:pt idx="123">
                  <c:v>1380</c:v>
                </c:pt>
                <c:pt idx="124">
                  <c:v>1390</c:v>
                </c:pt>
                <c:pt idx="125">
                  <c:v>1400</c:v>
                </c:pt>
                <c:pt idx="126">
                  <c:v>1410</c:v>
                </c:pt>
                <c:pt idx="127">
                  <c:v>1420</c:v>
                </c:pt>
                <c:pt idx="128">
                  <c:v>1430</c:v>
                </c:pt>
                <c:pt idx="129">
                  <c:v>1440</c:v>
                </c:pt>
                <c:pt idx="130">
                  <c:v>1450</c:v>
                </c:pt>
                <c:pt idx="131">
                  <c:v>1460</c:v>
                </c:pt>
                <c:pt idx="132">
                  <c:v>1470</c:v>
                </c:pt>
                <c:pt idx="133">
                  <c:v>1480</c:v>
                </c:pt>
                <c:pt idx="134">
                  <c:v>1490</c:v>
                </c:pt>
                <c:pt idx="135">
                  <c:v>1500</c:v>
                </c:pt>
                <c:pt idx="136">
                  <c:v>1510</c:v>
                </c:pt>
                <c:pt idx="137">
                  <c:v>1520</c:v>
                </c:pt>
                <c:pt idx="138">
                  <c:v>1530</c:v>
                </c:pt>
                <c:pt idx="139">
                  <c:v>1540</c:v>
                </c:pt>
                <c:pt idx="140">
                  <c:v>1550</c:v>
                </c:pt>
                <c:pt idx="141">
                  <c:v>1560</c:v>
                </c:pt>
                <c:pt idx="142">
                  <c:v>1570</c:v>
                </c:pt>
                <c:pt idx="143">
                  <c:v>1580</c:v>
                </c:pt>
                <c:pt idx="144">
                  <c:v>1590</c:v>
                </c:pt>
                <c:pt idx="145">
                  <c:v>1600</c:v>
                </c:pt>
                <c:pt idx="146">
                  <c:v>1610</c:v>
                </c:pt>
                <c:pt idx="147">
                  <c:v>1620</c:v>
                </c:pt>
                <c:pt idx="148">
                  <c:v>1630</c:v>
                </c:pt>
                <c:pt idx="149">
                  <c:v>1640</c:v>
                </c:pt>
                <c:pt idx="150">
                  <c:v>1650</c:v>
                </c:pt>
                <c:pt idx="151">
                  <c:v>1660</c:v>
                </c:pt>
                <c:pt idx="152">
                  <c:v>1670</c:v>
                </c:pt>
                <c:pt idx="153">
                  <c:v>1680</c:v>
                </c:pt>
                <c:pt idx="154">
                  <c:v>1690</c:v>
                </c:pt>
                <c:pt idx="155">
                  <c:v>1700</c:v>
                </c:pt>
                <c:pt idx="156">
                  <c:v>1710</c:v>
                </c:pt>
                <c:pt idx="157">
                  <c:v>1720</c:v>
                </c:pt>
                <c:pt idx="158">
                  <c:v>1730</c:v>
                </c:pt>
                <c:pt idx="159">
                  <c:v>1740</c:v>
                </c:pt>
                <c:pt idx="160">
                  <c:v>1750</c:v>
                </c:pt>
                <c:pt idx="161">
                  <c:v>1760</c:v>
                </c:pt>
                <c:pt idx="162">
                  <c:v>1770</c:v>
                </c:pt>
                <c:pt idx="163">
                  <c:v>1780</c:v>
                </c:pt>
                <c:pt idx="164">
                  <c:v>1790</c:v>
                </c:pt>
                <c:pt idx="165">
                  <c:v>1800</c:v>
                </c:pt>
                <c:pt idx="166">
                  <c:v>1810</c:v>
                </c:pt>
                <c:pt idx="167">
                  <c:v>1820</c:v>
                </c:pt>
                <c:pt idx="168">
                  <c:v>1830</c:v>
                </c:pt>
                <c:pt idx="169">
                  <c:v>1840</c:v>
                </c:pt>
                <c:pt idx="170">
                  <c:v>1850</c:v>
                </c:pt>
                <c:pt idx="171">
                  <c:v>1860</c:v>
                </c:pt>
                <c:pt idx="172">
                  <c:v>1870</c:v>
                </c:pt>
                <c:pt idx="173">
                  <c:v>1880</c:v>
                </c:pt>
                <c:pt idx="174">
                  <c:v>1890</c:v>
                </c:pt>
                <c:pt idx="175">
                  <c:v>1900</c:v>
                </c:pt>
                <c:pt idx="176">
                  <c:v>1910</c:v>
                </c:pt>
                <c:pt idx="177">
                  <c:v>1920</c:v>
                </c:pt>
                <c:pt idx="178">
                  <c:v>1930</c:v>
                </c:pt>
                <c:pt idx="179">
                  <c:v>1940</c:v>
                </c:pt>
                <c:pt idx="180">
                  <c:v>1950</c:v>
                </c:pt>
                <c:pt idx="181">
                  <c:v>1960</c:v>
                </c:pt>
                <c:pt idx="182">
                  <c:v>1970</c:v>
                </c:pt>
                <c:pt idx="183">
                  <c:v>1980</c:v>
                </c:pt>
                <c:pt idx="184">
                  <c:v>1990</c:v>
                </c:pt>
                <c:pt idx="185">
                  <c:v>2000</c:v>
                </c:pt>
                <c:pt idx="186">
                  <c:v>2010</c:v>
                </c:pt>
                <c:pt idx="187">
                  <c:v>2020</c:v>
                </c:pt>
                <c:pt idx="188">
                  <c:v>2030</c:v>
                </c:pt>
                <c:pt idx="189">
                  <c:v>2040</c:v>
                </c:pt>
                <c:pt idx="190">
                  <c:v>2050</c:v>
                </c:pt>
                <c:pt idx="191">
                  <c:v>2060</c:v>
                </c:pt>
              </c:numCache>
            </c:numRef>
          </c:cat>
          <c:val>
            <c:numRef>
              <c:f>'Task 2'!$F$2:$F$193</c:f>
              <c:numCache>
                <c:formatCode>General</c:formatCode>
                <c:ptCount val="192"/>
                <c:pt idx="0">
                  <c:v>2.3999999999999995</c:v>
                </c:pt>
                <c:pt idx="1">
                  <c:v>2.41</c:v>
                </c:pt>
                <c:pt idx="2">
                  <c:v>2.4399999999999995</c:v>
                </c:pt>
                <c:pt idx="3">
                  <c:v>2.4499999999999997</c:v>
                </c:pt>
                <c:pt idx="4">
                  <c:v>2.4500000000000002</c:v>
                </c:pt>
                <c:pt idx="5">
                  <c:v>2.4699999999999998</c:v>
                </c:pt>
                <c:pt idx="6">
                  <c:v>2.4800000000000004</c:v>
                </c:pt>
                <c:pt idx="7">
                  <c:v>2.4900000000000002</c:v>
                </c:pt>
                <c:pt idx="8">
                  <c:v>2.4999999999999991</c:v>
                </c:pt>
                <c:pt idx="9">
                  <c:v>2.5099999999999989</c:v>
                </c:pt>
                <c:pt idx="10">
                  <c:v>2.5200000000000005</c:v>
                </c:pt>
                <c:pt idx="11">
                  <c:v>2.5299999999999994</c:v>
                </c:pt>
                <c:pt idx="12">
                  <c:v>2.5600000000000005</c:v>
                </c:pt>
                <c:pt idx="13">
                  <c:v>2.6099999999999994</c:v>
                </c:pt>
                <c:pt idx="14">
                  <c:v>2.66</c:v>
                </c:pt>
                <c:pt idx="15">
                  <c:v>2.7200000000000006</c:v>
                </c:pt>
                <c:pt idx="16">
                  <c:v>2.8000000000000007</c:v>
                </c:pt>
                <c:pt idx="17">
                  <c:v>2.9000000000000004</c:v>
                </c:pt>
                <c:pt idx="18">
                  <c:v>2.99</c:v>
                </c:pt>
                <c:pt idx="19">
                  <c:v>3.09</c:v>
                </c:pt>
                <c:pt idx="20">
                  <c:v>3.1799999999999997</c:v>
                </c:pt>
                <c:pt idx="21">
                  <c:v>3.2700000000000014</c:v>
                </c:pt>
                <c:pt idx="22">
                  <c:v>3.370000000000001</c:v>
                </c:pt>
                <c:pt idx="23">
                  <c:v>3.4700000000000006</c:v>
                </c:pt>
                <c:pt idx="24">
                  <c:v>3.6100000000000012</c:v>
                </c:pt>
                <c:pt idx="25">
                  <c:v>3.740000000000002</c:v>
                </c:pt>
                <c:pt idx="26">
                  <c:v>3.870000000000001</c:v>
                </c:pt>
                <c:pt idx="27">
                  <c:v>3.9999999999999982</c:v>
                </c:pt>
                <c:pt idx="28">
                  <c:v>4.09</c:v>
                </c:pt>
                <c:pt idx="29">
                  <c:v>4.1099999999999994</c:v>
                </c:pt>
                <c:pt idx="30">
                  <c:v>4.1300000000000026</c:v>
                </c:pt>
                <c:pt idx="31">
                  <c:v>4.16</c:v>
                </c:pt>
                <c:pt idx="32">
                  <c:v>4.18</c:v>
                </c:pt>
                <c:pt idx="33">
                  <c:v>4.1800000000000033</c:v>
                </c:pt>
                <c:pt idx="34">
                  <c:v>4.18</c:v>
                </c:pt>
                <c:pt idx="35">
                  <c:v>4.16</c:v>
                </c:pt>
                <c:pt idx="36">
                  <c:v>4.16</c:v>
                </c:pt>
                <c:pt idx="37">
                  <c:v>4.1400000000000006</c:v>
                </c:pt>
                <c:pt idx="38">
                  <c:v>4.120000000000001</c:v>
                </c:pt>
                <c:pt idx="39">
                  <c:v>4.0799999999999983</c:v>
                </c:pt>
                <c:pt idx="40">
                  <c:v>4.0499999999999972</c:v>
                </c:pt>
                <c:pt idx="41">
                  <c:v>4.0199999999999996</c:v>
                </c:pt>
                <c:pt idx="42">
                  <c:v>3.9799999999999969</c:v>
                </c:pt>
                <c:pt idx="43">
                  <c:v>3.9499999999999993</c:v>
                </c:pt>
                <c:pt idx="44">
                  <c:v>3.8999999999999986</c:v>
                </c:pt>
                <c:pt idx="45">
                  <c:v>3.8700000000000045</c:v>
                </c:pt>
                <c:pt idx="46">
                  <c:v>3.8399999999999963</c:v>
                </c:pt>
                <c:pt idx="47">
                  <c:v>3.8099999999999952</c:v>
                </c:pt>
                <c:pt idx="48">
                  <c:v>3.7899999999999991</c:v>
                </c:pt>
                <c:pt idx="49">
                  <c:v>3.759999999999998</c:v>
                </c:pt>
                <c:pt idx="50">
                  <c:v>3.7399999999999949</c:v>
                </c:pt>
                <c:pt idx="51">
                  <c:v>3.7199999999999989</c:v>
                </c:pt>
                <c:pt idx="52">
                  <c:v>3.7100000000000009</c:v>
                </c:pt>
                <c:pt idx="53">
                  <c:v>3.6900000000000048</c:v>
                </c:pt>
                <c:pt idx="54">
                  <c:v>3.6700000000000017</c:v>
                </c:pt>
                <c:pt idx="55">
                  <c:v>3.6599999999999966</c:v>
                </c:pt>
                <c:pt idx="56">
                  <c:v>3.6600000000000037</c:v>
                </c:pt>
                <c:pt idx="57">
                  <c:v>3.6600000000000037</c:v>
                </c:pt>
                <c:pt idx="58">
                  <c:v>3.6599999999999966</c:v>
                </c:pt>
                <c:pt idx="59">
                  <c:v>3.6600000000000037</c:v>
                </c:pt>
                <c:pt idx="60">
                  <c:v>3.6600000000000037</c:v>
                </c:pt>
                <c:pt idx="61">
                  <c:v>3.6499999999999986</c:v>
                </c:pt>
                <c:pt idx="62">
                  <c:v>3.6499999999999986</c:v>
                </c:pt>
                <c:pt idx="63">
                  <c:v>3.6499999999999986</c:v>
                </c:pt>
                <c:pt idx="64">
                  <c:v>3.6300000000000026</c:v>
                </c:pt>
                <c:pt idx="65">
                  <c:v>3.6300000000000026</c:v>
                </c:pt>
                <c:pt idx="66">
                  <c:v>3.6300000000000026</c:v>
                </c:pt>
                <c:pt idx="67">
                  <c:v>3.6200000000000045</c:v>
                </c:pt>
                <c:pt idx="68">
                  <c:v>3.6200000000000045</c:v>
                </c:pt>
                <c:pt idx="69">
                  <c:v>3.6300000000000026</c:v>
                </c:pt>
                <c:pt idx="70">
                  <c:v>3.6199999999999974</c:v>
                </c:pt>
                <c:pt idx="71">
                  <c:v>3.6400000000000006</c:v>
                </c:pt>
                <c:pt idx="72">
                  <c:v>3.6699999999999946</c:v>
                </c:pt>
                <c:pt idx="73">
                  <c:v>3.6999999999999957</c:v>
                </c:pt>
                <c:pt idx="74">
                  <c:v>3.7399999999999949</c:v>
                </c:pt>
                <c:pt idx="75">
                  <c:v>3.7899999999999991</c:v>
                </c:pt>
                <c:pt idx="76">
                  <c:v>3.8299999999999983</c:v>
                </c:pt>
                <c:pt idx="77">
                  <c:v>3.8599999999999994</c:v>
                </c:pt>
                <c:pt idx="78">
                  <c:v>3.8999999999999986</c:v>
                </c:pt>
                <c:pt idx="79">
                  <c:v>3.9399999999999977</c:v>
                </c:pt>
                <c:pt idx="80">
                  <c:v>3.980000000000004</c:v>
                </c:pt>
                <c:pt idx="81">
                  <c:v>4.0300000000000011</c:v>
                </c:pt>
                <c:pt idx="82">
                  <c:v>4.0800000000000054</c:v>
                </c:pt>
                <c:pt idx="83">
                  <c:v>4.1200000000000045</c:v>
                </c:pt>
                <c:pt idx="84">
                  <c:v>4.1299999999999955</c:v>
                </c:pt>
                <c:pt idx="85">
                  <c:v>4.1500000000000057</c:v>
                </c:pt>
                <c:pt idx="86">
                  <c:v>4.1299999999999955</c:v>
                </c:pt>
                <c:pt idx="87">
                  <c:v>4.0899999999999963</c:v>
                </c:pt>
                <c:pt idx="88">
                  <c:v>4.0499999999999972</c:v>
                </c:pt>
                <c:pt idx="89">
                  <c:v>4</c:v>
                </c:pt>
                <c:pt idx="90">
                  <c:v>3.9399999999999977</c:v>
                </c:pt>
                <c:pt idx="91">
                  <c:v>3.8999999999999915</c:v>
                </c:pt>
                <c:pt idx="92">
                  <c:v>3.8600000000000136</c:v>
                </c:pt>
                <c:pt idx="93">
                  <c:v>3.8100000000000023</c:v>
                </c:pt>
                <c:pt idx="94">
                  <c:v>3.7799999999999869</c:v>
                </c:pt>
                <c:pt idx="95">
                  <c:v>3.7399999999999949</c:v>
                </c:pt>
                <c:pt idx="96">
                  <c:v>3.7000000000000028</c:v>
                </c:pt>
                <c:pt idx="97">
                  <c:v>3.6499999999999915</c:v>
                </c:pt>
                <c:pt idx="98">
                  <c:v>3.6200000000000045</c:v>
                </c:pt>
                <c:pt idx="99">
                  <c:v>3.5799999999999983</c:v>
                </c:pt>
                <c:pt idx="100">
                  <c:v>3.5400000000000063</c:v>
                </c:pt>
                <c:pt idx="101">
                  <c:v>3.5100000000000051</c:v>
                </c:pt>
                <c:pt idx="102">
                  <c:v>3.480000000000004</c:v>
                </c:pt>
                <c:pt idx="103">
                  <c:v>3.4399999999999977</c:v>
                </c:pt>
                <c:pt idx="104">
                  <c:v>3.4099999999999966</c:v>
                </c:pt>
                <c:pt idx="105">
                  <c:v>3.3900000000000006</c:v>
                </c:pt>
                <c:pt idx="106">
                  <c:v>3.3599999999999994</c:v>
                </c:pt>
                <c:pt idx="107">
                  <c:v>3.3299999999999983</c:v>
                </c:pt>
                <c:pt idx="108">
                  <c:v>3.3299999999999983</c:v>
                </c:pt>
                <c:pt idx="109">
                  <c:v>3.3700000000000045</c:v>
                </c:pt>
                <c:pt idx="110">
                  <c:v>3.3900000000000006</c:v>
                </c:pt>
                <c:pt idx="111">
                  <c:v>3.3599999999999994</c:v>
                </c:pt>
                <c:pt idx="112">
                  <c:v>3.3000000000000114</c:v>
                </c:pt>
                <c:pt idx="113">
                  <c:v>3.2700000000000102</c:v>
                </c:pt>
                <c:pt idx="114">
                  <c:v>3.2599999999999909</c:v>
                </c:pt>
                <c:pt idx="115">
                  <c:v>3.25</c:v>
                </c:pt>
                <c:pt idx="116">
                  <c:v>3.25</c:v>
                </c:pt>
                <c:pt idx="117">
                  <c:v>3.2400000000000091</c:v>
                </c:pt>
                <c:pt idx="118">
                  <c:v>3.2299999999999898</c:v>
                </c:pt>
                <c:pt idx="119">
                  <c:v>3.2400000000000091</c:v>
                </c:pt>
                <c:pt idx="120">
                  <c:v>3.230000000000004</c:v>
                </c:pt>
                <c:pt idx="121">
                  <c:v>3.2199999999999989</c:v>
                </c:pt>
                <c:pt idx="122">
                  <c:v>3.2199999999999989</c:v>
                </c:pt>
                <c:pt idx="123">
                  <c:v>3.2099999999999937</c:v>
                </c:pt>
                <c:pt idx="124">
                  <c:v>3.1999999999999886</c:v>
                </c:pt>
                <c:pt idx="125">
                  <c:v>3.1900000000000119</c:v>
                </c:pt>
                <c:pt idx="126">
                  <c:v>3.1899999999999977</c:v>
                </c:pt>
                <c:pt idx="127">
                  <c:v>3.1899999999999977</c:v>
                </c:pt>
                <c:pt idx="128">
                  <c:v>3.1999999999999886</c:v>
                </c:pt>
                <c:pt idx="129">
                  <c:v>3.230000000000004</c:v>
                </c:pt>
                <c:pt idx="130">
                  <c:v>3.25</c:v>
                </c:pt>
                <c:pt idx="131">
                  <c:v>3.2999999999999972</c:v>
                </c:pt>
                <c:pt idx="132">
                  <c:v>3.3500000000000085</c:v>
                </c:pt>
                <c:pt idx="133">
                  <c:v>3.3900000000000006</c:v>
                </c:pt>
                <c:pt idx="134">
                  <c:v>3.4299999999999926</c:v>
                </c:pt>
                <c:pt idx="135">
                  <c:v>3.480000000000004</c:v>
                </c:pt>
                <c:pt idx="136">
                  <c:v>3.5400000000000063</c:v>
                </c:pt>
                <c:pt idx="137">
                  <c:v>3.5900000000000034</c:v>
                </c:pt>
                <c:pt idx="138">
                  <c:v>3.6199999999999903</c:v>
                </c:pt>
                <c:pt idx="139">
                  <c:v>3.6099999999999994</c:v>
                </c:pt>
                <c:pt idx="140">
                  <c:v>3.5799999999999983</c:v>
                </c:pt>
                <c:pt idx="141">
                  <c:v>3.480000000000004</c:v>
                </c:pt>
                <c:pt idx="142">
                  <c:v>3.3900000000000006</c:v>
                </c:pt>
                <c:pt idx="143">
                  <c:v>3.2999999999999972</c:v>
                </c:pt>
                <c:pt idx="144">
                  <c:v>3.2199999999999989</c:v>
                </c:pt>
                <c:pt idx="145">
                  <c:v>3.1400000000000006</c:v>
                </c:pt>
                <c:pt idx="146">
                  <c:v>3.0599999999999881</c:v>
                </c:pt>
                <c:pt idx="147">
                  <c:v>2.980000000000004</c:v>
                </c:pt>
                <c:pt idx="148">
                  <c:v>2.9099999999999966</c:v>
                </c:pt>
                <c:pt idx="149">
                  <c:v>2.8300000000000125</c:v>
                </c:pt>
                <c:pt idx="150">
                  <c:v>2.7700000000000102</c:v>
                </c:pt>
                <c:pt idx="151">
                  <c:v>2.6999999999999886</c:v>
                </c:pt>
                <c:pt idx="152">
                  <c:v>2.6400000000000006</c:v>
                </c:pt>
                <c:pt idx="153">
                  <c:v>2.5799999999999983</c:v>
                </c:pt>
                <c:pt idx="154">
                  <c:v>2.5300000000000011</c:v>
                </c:pt>
                <c:pt idx="155">
                  <c:v>2.4699999999999989</c:v>
                </c:pt>
                <c:pt idx="156">
                  <c:v>2.4200000000000017</c:v>
                </c:pt>
                <c:pt idx="157">
                  <c:v>2.3799999999999955</c:v>
                </c:pt>
                <c:pt idx="158">
                  <c:v>2.3400000000000034</c:v>
                </c:pt>
                <c:pt idx="159">
                  <c:v>2.3200000000000074</c:v>
                </c:pt>
                <c:pt idx="160">
                  <c:v>2.2999999999999972</c:v>
                </c:pt>
                <c:pt idx="161">
                  <c:v>2.2799999999999869</c:v>
                </c:pt>
                <c:pt idx="162">
                  <c:v>2.2600000000000051</c:v>
                </c:pt>
                <c:pt idx="163">
                  <c:v>2.25</c:v>
                </c:pt>
                <c:pt idx="164">
                  <c:v>2.25</c:v>
                </c:pt>
                <c:pt idx="165">
                  <c:v>2.25</c:v>
                </c:pt>
                <c:pt idx="166">
                  <c:v>2.2399999999999807</c:v>
                </c:pt>
                <c:pt idx="167">
                  <c:v>2.2399999999999807</c:v>
                </c:pt>
                <c:pt idx="168">
                  <c:v>2.2299999999999898</c:v>
                </c:pt>
                <c:pt idx="169">
                  <c:v>2.2300000000000182</c:v>
                </c:pt>
                <c:pt idx="170">
                  <c:v>2.2299999999999898</c:v>
                </c:pt>
                <c:pt idx="171">
                  <c:v>2.25</c:v>
                </c:pt>
                <c:pt idx="172">
                  <c:v>2.2700000000000102</c:v>
                </c:pt>
                <c:pt idx="173">
                  <c:v>2.3200000000000216</c:v>
                </c:pt>
                <c:pt idx="174">
                  <c:v>2.3899999999999864</c:v>
                </c:pt>
                <c:pt idx="175">
                  <c:v>2.4699999999999989</c:v>
                </c:pt>
                <c:pt idx="176">
                  <c:v>2.5699999999999932</c:v>
                </c:pt>
                <c:pt idx="177">
                  <c:v>2.6800000000000068</c:v>
                </c:pt>
                <c:pt idx="178">
                  <c:v>2.7799999999999727</c:v>
                </c:pt>
                <c:pt idx="179">
                  <c:v>2.9099999999999966</c:v>
                </c:pt>
                <c:pt idx="180">
                  <c:v>3.0400000000000205</c:v>
                </c:pt>
                <c:pt idx="181">
                  <c:v>3.2099999999999795</c:v>
                </c:pt>
                <c:pt idx="182">
                  <c:v>3.4000000000000057</c:v>
                </c:pt>
                <c:pt idx="183">
                  <c:v>3.6000000000000227</c:v>
                </c:pt>
                <c:pt idx="184">
                  <c:v>3.8200000000000216</c:v>
                </c:pt>
                <c:pt idx="185">
                  <c:v>4.0199999999999818</c:v>
                </c:pt>
                <c:pt idx="186">
                  <c:v>4.1200000000000045</c:v>
                </c:pt>
                <c:pt idx="187">
                  <c:v>4.2199999999999989</c:v>
                </c:pt>
                <c:pt idx="188">
                  <c:v>4.25</c:v>
                </c:pt>
                <c:pt idx="189">
                  <c:v>4.1999999999999886</c:v>
                </c:pt>
                <c:pt idx="190">
                  <c:v>4.1300000000000239</c:v>
                </c:pt>
                <c:pt idx="191">
                  <c:v>4.0799999999999841</c:v>
                </c:pt>
              </c:numCache>
            </c:numRef>
          </c:val>
          <c:smooth val="0"/>
          <c:extLst>
            <c:ext xmlns:c16="http://schemas.microsoft.com/office/drawing/2014/chart" uri="{C3380CC4-5D6E-409C-BE32-E72D297353CC}">
              <c16:uniqueId val="{00000000-B6CB-5F44-8D08-A85C587F70AF}"/>
            </c:ext>
          </c:extLst>
        </c:ser>
        <c:dLbls>
          <c:showLegendKey val="0"/>
          <c:showVal val="0"/>
          <c:showCatName val="0"/>
          <c:showSerName val="0"/>
          <c:showPercent val="0"/>
          <c:showBubbleSize val="0"/>
        </c:dLbls>
        <c:smooth val="0"/>
        <c:axId val="129734592"/>
        <c:axId val="130022688"/>
      </c:lineChart>
      <c:catAx>
        <c:axId val="129734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22688"/>
        <c:crosses val="autoZero"/>
        <c:auto val="1"/>
        <c:lblAlgn val="ctr"/>
        <c:lblOffset val="100"/>
        <c:noMultiLvlLbl val="0"/>
      </c:catAx>
      <c:valAx>
        <c:axId val="130022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difference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34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 of Temp and CO2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'Task 2'!$G$1</c:f>
              <c:strCache>
                <c:ptCount val="1"/>
                <c:pt idx="0">
                  <c:v>CO2 (ppmv)</c:v>
                </c:pt>
              </c:strCache>
            </c:strRef>
          </c:tx>
          <c:spPr>
            <a:ln w="19050" cap="rnd">
              <a:solidFill>
                <a:schemeClr val="accent1"/>
              </a:solidFill>
              <a:round/>
            </a:ln>
            <a:effectLst/>
          </c:spPr>
          <c:marker>
            <c:symbol val="none"/>
          </c:marker>
          <c:xVal>
            <c:numRef>
              <c:f>'Task 2'!$D$2:$D$193</c:f>
              <c:numCache>
                <c:formatCode>General</c:formatCode>
                <c:ptCount val="192"/>
                <c:pt idx="0">
                  <c:v>5.0599999999999996</c:v>
                </c:pt>
                <c:pt idx="1">
                  <c:v>5.45</c:v>
                </c:pt>
                <c:pt idx="2">
                  <c:v>5.85</c:v>
                </c:pt>
                <c:pt idx="3">
                  <c:v>6.27</c:v>
                </c:pt>
                <c:pt idx="4">
                  <c:v>6.7</c:v>
                </c:pt>
                <c:pt idx="5">
                  <c:v>7.14</c:v>
                </c:pt>
                <c:pt idx="6">
                  <c:v>7.57</c:v>
                </c:pt>
                <c:pt idx="7">
                  <c:v>8.01</c:v>
                </c:pt>
                <c:pt idx="8">
                  <c:v>8.44</c:v>
                </c:pt>
                <c:pt idx="9">
                  <c:v>8.8699999999999992</c:v>
                </c:pt>
                <c:pt idx="10">
                  <c:v>9.31</c:v>
                </c:pt>
                <c:pt idx="11">
                  <c:v>9.76</c:v>
                </c:pt>
                <c:pt idx="12">
                  <c:v>10.24</c:v>
                </c:pt>
                <c:pt idx="13">
                  <c:v>10.74</c:v>
                </c:pt>
                <c:pt idx="14">
                  <c:v>11.24</c:v>
                </c:pt>
                <c:pt idx="15">
                  <c:v>11.74</c:v>
                </c:pt>
                <c:pt idx="16">
                  <c:v>12.32</c:v>
                </c:pt>
                <c:pt idx="17">
                  <c:v>12.94</c:v>
                </c:pt>
                <c:pt idx="18">
                  <c:v>13.55</c:v>
                </c:pt>
                <c:pt idx="19">
                  <c:v>14.17</c:v>
                </c:pt>
                <c:pt idx="20">
                  <c:v>14.78</c:v>
                </c:pt>
                <c:pt idx="21">
                  <c:v>15.39</c:v>
                </c:pt>
                <c:pt idx="22">
                  <c:v>16.010000000000002</c:v>
                </c:pt>
                <c:pt idx="23">
                  <c:v>16.690000000000001</c:v>
                </c:pt>
                <c:pt idx="24">
                  <c:v>17.48</c:v>
                </c:pt>
                <c:pt idx="25">
                  <c:v>18.260000000000002</c:v>
                </c:pt>
                <c:pt idx="26">
                  <c:v>19.05</c:v>
                </c:pt>
                <c:pt idx="27">
                  <c:v>19.829999999999998</c:v>
                </c:pt>
                <c:pt idx="28">
                  <c:v>20.63</c:v>
                </c:pt>
                <c:pt idx="29">
                  <c:v>21.45</c:v>
                </c:pt>
                <c:pt idx="30">
                  <c:v>22.28</c:v>
                </c:pt>
                <c:pt idx="31">
                  <c:v>23.11</c:v>
                </c:pt>
                <c:pt idx="32">
                  <c:v>23.93</c:v>
                </c:pt>
                <c:pt idx="33">
                  <c:v>24.76</c:v>
                </c:pt>
                <c:pt idx="34">
                  <c:v>25.6</c:v>
                </c:pt>
                <c:pt idx="35">
                  <c:v>26.43</c:v>
                </c:pt>
                <c:pt idx="36">
                  <c:v>27.27</c:v>
                </c:pt>
                <c:pt idx="37">
                  <c:v>28.1</c:v>
                </c:pt>
                <c:pt idx="38">
                  <c:v>28.93</c:v>
                </c:pt>
                <c:pt idx="39">
                  <c:v>29.74</c:v>
                </c:pt>
                <c:pt idx="40">
                  <c:v>30.56</c:v>
                </c:pt>
                <c:pt idx="41">
                  <c:v>31.38</c:v>
                </c:pt>
                <c:pt idx="42">
                  <c:v>32.19</c:v>
                </c:pt>
                <c:pt idx="43">
                  <c:v>33</c:v>
                </c:pt>
                <c:pt idx="44">
                  <c:v>33.79</c:v>
                </c:pt>
                <c:pt idx="45">
                  <c:v>34.590000000000003</c:v>
                </c:pt>
                <c:pt idx="46">
                  <c:v>35.369999999999997</c:v>
                </c:pt>
                <c:pt idx="47">
                  <c:v>36.159999999999997</c:v>
                </c:pt>
                <c:pt idx="48">
                  <c:v>36.94</c:v>
                </c:pt>
                <c:pt idx="49">
                  <c:v>37.71</c:v>
                </c:pt>
                <c:pt idx="50">
                  <c:v>38.479999999999997</c:v>
                </c:pt>
                <c:pt idx="51">
                  <c:v>39.24</c:v>
                </c:pt>
                <c:pt idx="52">
                  <c:v>40.01</c:v>
                </c:pt>
                <c:pt idx="53">
                  <c:v>40.770000000000003</c:v>
                </c:pt>
                <c:pt idx="54">
                  <c:v>41.53</c:v>
                </c:pt>
                <c:pt idx="55">
                  <c:v>42.3</c:v>
                </c:pt>
                <c:pt idx="56">
                  <c:v>43.06</c:v>
                </c:pt>
                <c:pt idx="57">
                  <c:v>43.82</c:v>
                </c:pt>
                <c:pt idx="58">
                  <c:v>44.58</c:v>
                </c:pt>
                <c:pt idx="59">
                  <c:v>45.34</c:v>
                </c:pt>
                <c:pt idx="60">
                  <c:v>46.1</c:v>
                </c:pt>
                <c:pt idx="61">
                  <c:v>46.85</c:v>
                </c:pt>
                <c:pt idx="62">
                  <c:v>47.61</c:v>
                </c:pt>
                <c:pt idx="63">
                  <c:v>48.36</c:v>
                </c:pt>
                <c:pt idx="64">
                  <c:v>49.1</c:v>
                </c:pt>
                <c:pt idx="65">
                  <c:v>49.85</c:v>
                </c:pt>
                <c:pt idx="66">
                  <c:v>50.6</c:v>
                </c:pt>
                <c:pt idx="67">
                  <c:v>51.34</c:v>
                </c:pt>
                <c:pt idx="68">
                  <c:v>52.09</c:v>
                </c:pt>
                <c:pt idx="69">
                  <c:v>52.84</c:v>
                </c:pt>
                <c:pt idx="70">
                  <c:v>53.58</c:v>
                </c:pt>
                <c:pt idx="71">
                  <c:v>54.35</c:v>
                </c:pt>
                <c:pt idx="72">
                  <c:v>55.12</c:v>
                </c:pt>
                <c:pt idx="73">
                  <c:v>55.9</c:v>
                </c:pt>
                <c:pt idx="74">
                  <c:v>56.69</c:v>
                </c:pt>
                <c:pt idx="75">
                  <c:v>57.49</c:v>
                </c:pt>
                <c:pt idx="76">
                  <c:v>58.3</c:v>
                </c:pt>
                <c:pt idx="77">
                  <c:v>59.11</c:v>
                </c:pt>
                <c:pt idx="78">
                  <c:v>59.94</c:v>
                </c:pt>
                <c:pt idx="79">
                  <c:v>60.78</c:v>
                </c:pt>
                <c:pt idx="80">
                  <c:v>61.63</c:v>
                </c:pt>
                <c:pt idx="81">
                  <c:v>62.5</c:v>
                </c:pt>
                <c:pt idx="82">
                  <c:v>63.38</c:v>
                </c:pt>
                <c:pt idx="83">
                  <c:v>64.260000000000005</c:v>
                </c:pt>
                <c:pt idx="84">
                  <c:v>65.13</c:v>
                </c:pt>
                <c:pt idx="85">
                  <c:v>66.010000000000005</c:v>
                </c:pt>
                <c:pt idx="86">
                  <c:v>66.88</c:v>
                </c:pt>
                <c:pt idx="87">
                  <c:v>67.739999999999995</c:v>
                </c:pt>
                <c:pt idx="88">
                  <c:v>68.59</c:v>
                </c:pt>
                <c:pt idx="89">
                  <c:v>69.430000000000007</c:v>
                </c:pt>
                <c:pt idx="90">
                  <c:v>70.27</c:v>
                </c:pt>
                <c:pt idx="91">
                  <c:v>71.099999999999994</c:v>
                </c:pt>
                <c:pt idx="92">
                  <c:v>71.930000000000007</c:v>
                </c:pt>
                <c:pt idx="93">
                  <c:v>72.75</c:v>
                </c:pt>
                <c:pt idx="94">
                  <c:v>73.569999999999993</c:v>
                </c:pt>
                <c:pt idx="95">
                  <c:v>74.39</c:v>
                </c:pt>
                <c:pt idx="96">
                  <c:v>75.19</c:v>
                </c:pt>
                <c:pt idx="97">
                  <c:v>75.989999999999995</c:v>
                </c:pt>
                <c:pt idx="98">
                  <c:v>76.790000000000006</c:v>
                </c:pt>
                <c:pt idx="99">
                  <c:v>77.58</c:v>
                </c:pt>
                <c:pt idx="100">
                  <c:v>78.37</c:v>
                </c:pt>
                <c:pt idx="101">
                  <c:v>79.150000000000006</c:v>
                </c:pt>
                <c:pt idx="102">
                  <c:v>79.930000000000007</c:v>
                </c:pt>
                <c:pt idx="103">
                  <c:v>80.7</c:v>
                </c:pt>
                <c:pt idx="104">
                  <c:v>81.47</c:v>
                </c:pt>
                <c:pt idx="105">
                  <c:v>82.24</c:v>
                </c:pt>
                <c:pt idx="106">
                  <c:v>83.01</c:v>
                </c:pt>
                <c:pt idx="107">
                  <c:v>83.78</c:v>
                </c:pt>
                <c:pt idx="108">
                  <c:v>84.55</c:v>
                </c:pt>
                <c:pt idx="109">
                  <c:v>85.33</c:v>
                </c:pt>
                <c:pt idx="110">
                  <c:v>86.1</c:v>
                </c:pt>
                <c:pt idx="111">
                  <c:v>86.88</c:v>
                </c:pt>
                <c:pt idx="112">
                  <c:v>87.65</c:v>
                </c:pt>
                <c:pt idx="113">
                  <c:v>88.43</c:v>
                </c:pt>
                <c:pt idx="114">
                  <c:v>89.21</c:v>
                </c:pt>
                <c:pt idx="115">
                  <c:v>89.99</c:v>
                </c:pt>
                <c:pt idx="116">
                  <c:v>90.78</c:v>
                </c:pt>
                <c:pt idx="117">
                  <c:v>91.56</c:v>
                </c:pt>
                <c:pt idx="118">
                  <c:v>92.35</c:v>
                </c:pt>
                <c:pt idx="119">
                  <c:v>93.15</c:v>
                </c:pt>
                <c:pt idx="120">
                  <c:v>93.94</c:v>
                </c:pt>
                <c:pt idx="121">
                  <c:v>94.73</c:v>
                </c:pt>
                <c:pt idx="122">
                  <c:v>95.53</c:v>
                </c:pt>
                <c:pt idx="123">
                  <c:v>96.33</c:v>
                </c:pt>
                <c:pt idx="124">
                  <c:v>97.13</c:v>
                </c:pt>
                <c:pt idx="125">
                  <c:v>97.93</c:v>
                </c:pt>
                <c:pt idx="126">
                  <c:v>98.74</c:v>
                </c:pt>
                <c:pt idx="127">
                  <c:v>99.55</c:v>
                </c:pt>
                <c:pt idx="128">
                  <c:v>100.38</c:v>
                </c:pt>
                <c:pt idx="129">
                  <c:v>101.23</c:v>
                </c:pt>
                <c:pt idx="130">
                  <c:v>102.08</c:v>
                </c:pt>
                <c:pt idx="131">
                  <c:v>102.97</c:v>
                </c:pt>
                <c:pt idx="132">
                  <c:v>103.87</c:v>
                </c:pt>
                <c:pt idx="133">
                  <c:v>104.78</c:v>
                </c:pt>
                <c:pt idx="134">
                  <c:v>105.71</c:v>
                </c:pt>
                <c:pt idx="135">
                  <c:v>106.65</c:v>
                </c:pt>
                <c:pt idx="136">
                  <c:v>107.64</c:v>
                </c:pt>
                <c:pt idx="137">
                  <c:v>108.62</c:v>
                </c:pt>
                <c:pt idx="138">
                  <c:v>109.6</c:v>
                </c:pt>
                <c:pt idx="139">
                  <c:v>110.57</c:v>
                </c:pt>
                <c:pt idx="140">
                  <c:v>111.53</c:v>
                </c:pt>
                <c:pt idx="141">
                  <c:v>112.45</c:v>
                </c:pt>
                <c:pt idx="142">
                  <c:v>113.37</c:v>
                </c:pt>
                <c:pt idx="143">
                  <c:v>114.27</c:v>
                </c:pt>
                <c:pt idx="144">
                  <c:v>115.15</c:v>
                </c:pt>
                <c:pt idx="145">
                  <c:v>116.02</c:v>
                </c:pt>
                <c:pt idx="146">
                  <c:v>116.85</c:v>
                </c:pt>
                <c:pt idx="147">
                  <c:v>117.68</c:v>
                </c:pt>
                <c:pt idx="148">
                  <c:v>118.5</c:v>
                </c:pt>
                <c:pt idx="149">
                  <c:v>119.29</c:v>
                </c:pt>
                <c:pt idx="150">
                  <c:v>120.09</c:v>
                </c:pt>
                <c:pt idx="151">
                  <c:v>120.85</c:v>
                </c:pt>
                <c:pt idx="152">
                  <c:v>121.61</c:v>
                </c:pt>
                <c:pt idx="153">
                  <c:v>122.36</c:v>
                </c:pt>
                <c:pt idx="154">
                  <c:v>123.1</c:v>
                </c:pt>
                <c:pt idx="155">
                  <c:v>123.83</c:v>
                </c:pt>
                <c:pt idx="156">
                  <c:v>124.54</c:v>
                </c:pt>
                <c:pt idx="157">
                  <c:v>125.25</c:v>
                </c:pt>
                <c:pt idx="158">
                  <c:v>125.95</c:v>
                </c:pt>
                <c:pt idx="159">
                  <c:v>126.65</c:v>
                </c:pt>
                <c:pt idx="160">
                  <c:v>127.34</c:v>
                </c:pt>
                <c:pt idx="161">
                  <c:v>128.04</c:v>
                </c:pt>
                <c:pt idx="162">
                  <c:v>128.74</c:v>
                </c:pt>
                <c:pt idx="163">
                  <c:v>129.44</c:v>
                </c:pt>
                <c:pt idx="164">
                  <c:v>130.15</c:v>
                </c:pt>
                <c:pt idx="165">
                  <c:v>130.86000000000001</c:v>
                </c:pt>
                <c:pt idx="166">
                  <c:v>131.57</c:v>
                </c:pt>
                <c:pt idx="167">
                  <c:v>132.29</c:v>
                </c:pt>
                <c:pt idx="168">
                  <c:v>133.01</c:v>
                </c:pt>
                <c:pt idx="169">
                  <c:v>133.74</c:v>
                </c:pt>
                <c:pt idx="170">
                  <c:v>134.47</c:v>
                </c:pt>
                <c:pt idx="171">
                  <c:v>135.24</c:v>
                </c:pt>
                <c:pt idx="172">
                  <c:v>136</c:v>
                </c:pt>
                <c:pt idx="173">
                  <c:v>136.80000000000001</c:v>
                </c:pt>
                <c:pt idx="174">
                  <c:v>137.63999999999999</c:v>
                </c:pt>
                <c:pt idx="175">
                  <c:v>138.49</c:v>
                </c:pt>
                <c:pt idx="176">
                  <c:v>139.43</c:v>
                </c:pt>
                <c:pt idx="177">
                  <c:v>140.4</c:v>
                </c:pt>
                <c:pt idx="178">
                  <c:v>141.38999999999999</c:v>
                </c:pt>
                <c:pt idx="179">
                  <c:v>142.49</c:v>
                </c:pt>
                <c:pt idx="180">
                  <c:v>143.61000000000001</c:v>
                </c:pt>
                <c:pt idx="181">
                  <c:v>144.88999999999999</c:v>
                </c:pt>
                <c:pt idx="182">
                  <c:v>146.18</c:v>
                </c:pt>
                <c:pt idx="183">
                  <c:v>147.58000000000001</c:v>
                </c:pt>
                <c:pt idx="184">
                  <c:v>149.11000000000001</c:v>
                </c:pt>
                <c:pt idx="185">
                  <c:v>150.66999999999999</c:v>
                </c:pt>
                <c:pt idx="186">
                  <c:v>152.35</c:v>
                </c:pt>
                <c:pt idx="187">
                  <c:v>154.02000000000001</c:v>
                </c:pt>
                <c:pt idx="188">
                  <c:v>155.69999999999999</c:v>
                </c:pt>
                <c:pt idx="189">
                  <c:v>157.38</c:v>
                </c:pt>
                <c:pt idx="190">
                  <c:v>159.05000000000001</c:v>
                </c:pt>
                <c:pt idx="191">
                  <c:v>160.72999999999999</c:v>
                </c:pt>
              </c:numCache>
            </c:numRef>
          </c:xVal>
          <c:yVal>
            <c:numRef>
              <c:f>'Task 2'!$G$2:$G$193</c:f>
              <c:numCache>
                <c:formatCode>General</c:formatCode>
                <c:ptCount val="192"/>
                <c:pt idx="0">
                  <c:v>272.14</c:v>
                </c:pt>
                <c:pt idx="1">
                  <c:v>271.22000000000003</c:v>
                </c:pt>
                <c:pt idx="2">
                  <c:v>270.29000000000002</c:v>
                </c:pt>
                <c:pt idx="3">
                  <c:v>268.39</c:v>
                </c:pt>
                <c:pt idx="4">
                  <c:v>266.06</c:v>
                </c:pt>
                <c:pt idx="5">
                  <c:v>263.73</c:v>
                </c:pt>
                <c:pt idx="6">
                  <c:v>261.39999999999998</c:v>
                </c:pt>
                <c:pt idx="7">
                  <c:v>259.06</c:v>
                </c:pt>
                <c:pt idx="8">
                  <c:v>256.73</c:v>
                </c:pt>
                <c:pt idx="9">
                  <c:v>254.4</c:v>
                </c:pt>
                <c:pt idx="10">
                  <c:v>252.07</c:v>
                </c:pt>
                <c:pt idx="11">
                  <c:v>255.09</c:v>
                </c:pt>
                <c:pt idx="12">
                  <c:v>257.22000000000003</c:v>
                </c:pt>
                <c:pt idx="13">
                  <c:v>257.77</c:v>
                </c:pt>
                <c:pt idx="14">
                  <c:v>258.31</c:v>
                </c:pt>
                <c:pt idx="15">
                  <c:v>258.86</c:v>
                </c:pt>
                <c:pt idx="16">
                  <c:v>257.58</c:v>
                </c:pt>
                <c:pt idx="17">
                  <c:v>255.66</c:v>
                </c:pt>
                <c:pt idx="18">
                  <c:v>253.75</c:v>
                </c:pt>
                <c:pt idx="19">
                  <c:v>251.83</c:v>
                </c:pt>
                <c:pt idx="20">
                  <c:v>249.91</c:v>
                </c:pt>
                <c:pt idx="21">
                  <c:v>247.99</c:v>
                </c:pt>
                <c:pt idx="22">
                  <c:v>246.07</c:v>
                </c:pt>
                <c:pt idx="23">
                  <c:v>240.5</c:v>
                </c:pt>
                <c:pt idx="24">
                  <c:v>230.26</c:v>
                </c:pt>
                <c:pt idx="25">
                  <c:v>220.02</c:v>
                </c:pt>
                <c:pt idx="26">
                  <c:v>209.79</c:v>
                </c:pt>
                <c:pt idx="27">
                  <c:v>199.55</c:v>
                </c:pt>
                <c:pt idx="28">
                  <c:v>193.11</c:v>
                </c:pt>
                <c:pt idx="29">
                  <c:v>193.43</c:v>
                </c:pt>
                <c:pt idx="30">
                  <c:v>193.74</c:v>
                </c:pt>
                <c:pt idx="31">
                  <c:v>194.05</c:v>
                </c:pt>
                <c:pt idx="32">
                  <c:v>194.37</c:v>
                </c:pt>
                <c:pt idx="33">
                  <c:v>195.13</c:v>
                </c:pt>
                <c:pt idx="34">
                  <c:v>196.21</c:v>
                </c:pt>
                <c:pt idx="35">
                  <c:v>197.29</c:v>
                </c:pt>
                <c:pt idx="36">
                  <c:v>198.37</c:v>
                </c:pt>
                <c:pt idx="37">
                  <c:v>199.45</c:v>
                </c:pt>
                <c:pt idx="38">
                  <c:v>199.81</c:v>
                </c:pt>
                <c:pt idx="39">
                  <c:v>199.41</c:v>
                </c:pt>
                <c:pt idx="40">
                  <c:v>199.02</c:v>
                </c:pt>
                <c:pt idx="41">
                  <c:v>198.63</c:v>
                </c:pt>
                <c:pt idx="42">
                  <c:v>198.24</c:v>
                </c:pt>
                <c:pt idx="43">
                  <c:v>201.8</c:v>
                </c:pt>
                <c:pt idx="44">
                  <c:v>211.31</c:v>
                </c:pt>
                <c:pt idx="45">
                  <c:v>220.81</c:v>
                </c:pt>
                <c:pt idx="46">
                  <c:v>217.71</c:v>
                </c:pt>
                <c:pt idx="47">
                  <c:v>210.85</c:v>
                </c:pt>
                <c:pt idx="48">
                  <c:v>207.51</c:v>
                </c:pt>
                <c:pt idx="49">
                  <c:v>208.66</c:v>
                </c:pt>
                <c:pt idx="50">
                  <c:v>209.82</c:v>
                </c:pt>
                <c:pt idx="51">
                  <c:v>209.48</c:v>
                </c:pt>
                <c:pt idx="52">
                  <c:v>208.87</c:v>
                </c:pt>
                <c:pt idx="53">
                  <c:v>208.25</c:v>
                </c:pt>
                <c:pt idx="54">
                  <c:v>207.63</c:v>
                </c:pt>
                <c:pt idx="55">
                  <c:v>207.02</c:v>
                </c:pt>
                <c:pt idx="56">
                  <c:v>201.24</c:v>
                </c:pt>
                <c:pt idx="57">
                  <c:v>195.3</c:v>
                </c:pt>
                <c:pt idx="58">
                  <c:v>189.37</c:v>
                </c:pt>
                <c:pt idx="59">
                  <c:v>183.43</c:v>
                </c:pt>
                <c:pt idx="60">
                  <c:v>179.86</c:v>
                </c:pt>
                <c:pt idx="61">
                  <c:v>187.85</c:v>
                </c:pt>
                <c:pt idx="62">
                  <c:v>195.84</c:v>
                </c:pt>
                <c:pt idx="63">
                  <c:v>201.49</c:v>
                </c:pt>
                <c:pt idx="64">
                  <c:v>204.6</c:v>
                </c:pt>
                <c:pt idx="65">
                  <c:v>207.7</c:v>
                </c:pt>
                <c:pt idx="66">
                  <c:v>206.42</c:v>
                </c:pt>
                <c:pt idx="67">
                  <c:v>205.15</c:v>
                </c:pt>
                <c:pt idx="68">
                  <c:v>203.87</c:v>
                </c:pt>
                <c:pt idx="69">
                  <c:v>202.6</c:v>
                </c:pt>
                <c:pt idx="70">
                  <c:v>201.32</c:v>
                </c:pt>
                <c:pt idx="71">
                  <c:v>201</c:v>
                </c:pt>
                <c:pt idx="72">
                  <c:v>201</c:v>
                </c:pt>
                <c:pt idx="73">
                  <c:v>204.78</c:v>
                </c:pt>
                <c:pt idx="74">
                  <c:v>211.41</c:v>
                </c:pt>
                <c:pt idx="75">
                  <c:v>218.04</c:v>
                </c:pt>
                <c:pt idx="76">
                  <c:v>217.91</c:v>
                </c:pt>
                <c:pt idx="77">
                  <c:v>215.88</c:v>
                </c:pt>
                <c:pt idx="78">
                  <c:v>213.48</c:v>
                </c:pt>
                <c:pt idx="79">
                  <c:v>210.29</c:v>
                </c:pt>
                <c:pt idx="80">
                  <c:v>207.11</c:v>
                </c:pt>
                <c:pt idx="81">
                  <c:v>204.63</c:v>
                </c:pt>
                <c:pt idx="82">
                  <c:v>202.32</c:v>
                </c:pt>
                <c:pt idx="83">
                  <c:v>199.56</c:v>
                </c:pt>
                <c:pt idx="84">
                  <c:v>196.2</c:v>
                </c:pt>
                <c:pt idx="85">
                  <c:v>192.84</c:v>
                </c:pt>
                <c:pt idx="86">
                  <c:v>192.36</c:v>
                </c:pt>
                <c:pt idx="87">
                  <c:v>192.83</c:v>
                </c:pt>
                <c:pt idx="88">
                  <c:v>195.81</c:v>
                </c:pt>
                <c:pt idx="89">
                  <c:v>200.14</c:v>
                </c:pt>
                <c:pt idx="90">
                  <c:v>204.46</c:v>
                </c:pt>
                <c:pt idx="91">
                  <c:v>212.63</c:v>
                </c:pt>
                <c:pt idx="92">
                  <c:v>222</c:v>
                </c:pt>
                <c:pt idx="93">
                  <c:v>229.73</c:v>
                </c:pt>
                <c:pt idx="94">
                  <c:v>235.93</c:v>
                </c:pt>
                <c:pt idx="95">
                  <c:v>242.13</c:v>
                </c:pt>
                <c:pt idx="96">
                  <c:v>239.98</c:v>
                </c:pt>
                <c:pt idx="97">
                  <c:v>236.47</c:v>
                </c:pt>
                <c:pt idx="98">
                  <c:v>233.93</c:v>
                </c:pt>
                <c:pt idx="99">
                  <c:v>232.1</c:v>
                </c:pt>
                <c:pt idx="100">
                  <c:v>229.95</c:v>
                </c:pt>
                <c:pt idx="101">
                  <c:v>225.77</c:v>
                </c:pt>
                <c:pt idx="102">
                  <c:v>221.59</c:v>
                </c:pt>
                <c:pt idx="103">
                  <c:v>219.8</c:v>
                </c:pt>
                <c:pt idx="104">
                  <c:v>220.39</c:v>
                </c:pt>
                <c:pt idx="105">
                  <c:v>220.98</c:v>
                </c:pt>
                <c:pt idx="106">
                  <c:v>221.57</c:v>
                </c:pt>
                <c:pt idx="107">
                  <c:v>222.16</c:v>
                </c:pt>
                <c:pt idx="108">
                  <c:v>224.42</c:v>
                </c:pt>
                <c:pt idx="109">
                  <c:v>228.88</c:v>
                </c:pt>
                <c:pt idx="110">
                  <c:v>233.33</c:v>
                </c:pt>
                <c:pt idx="111">
                  <c:v>228.31</c:v>
                </c:pt>
                <c:pt idx="112">
                  <c:v>221.61</c:v>
                </c:pt>
                <c:pt idx="113">
                  <c:v>216.76</c:v>
                </c:pt>
                <c:pt idx="114">
                  <c:v>213.26</c:v>
                </c:pt>
                <c:pt idx="115">
                  <c:v>210.35</c:v>
                </c:pt>
                <c:pt idx="116">
                  <c:v>215.3</c:v>
                </c:pt>
                <c:pt idx="117">
                  <c:v>220.26</c:v>
                </c:pt>
                <c:pt idx="118">
                  <c:v>222.77</c:v>
                </c:pt>
                <c:pt idx="119">
                  <c:v>224.47</c:v>
                </c:pt>
                <c:pt idx="120">
                  <c:v>226.31</c:v>
                </c:pt>
                <c:pt idx="121">
                  <c:v>229.41</c:v>
                </c:pt>
                <c:pt idx="122">
                  <c:v>232.51</c:v>
                </c:pt>
                <c:pt idx="123">
                  <c:v>232.59</c:v>
                </c:pt>
                <c:pt idx="124">
                  <c:v>229.88</c:v>
                </c:pt>
                <c:pt idx="125">
                  <c:v>227.18</c:v>
                </c:pt>
                <c:pt idx="126">
                  <c:v>229.6</c:v>
                </c:pt>
                <c:pt idx="127">
                  <c:v>233.73</c:v>
                </c:pt>
                <c:pt idx="128">
                  <c:v>234.1</c:v>
                </c:pt>
                <c:pt idx="129">
                  <c:v>229.87</c:v>
                </c:pt>
                <c:pt idx="130">
                  <c:v>225.63</c:v>
                </c:pt>
                <c:pt idx="131">
                  <c:v>226.38</c:v>
                </c:pt>
                <c:pt idx="132">
                  <c:v>228.01</c:v>
                </c:pt>
                <c:pt idx="133">
                  <c:v>230.58</c:v>
                </c:pt>
                <c:pt idx="134">
                  <c:v>234.62</c:v>
                </c:pt>
                <c:pt idx="135">
                  <c:v>238.44</c:v>
                </c:pt>
                <c:pt idx="136">
                  <c:v>236.94</c:v>
                </c:pt>
                <c:pt idx="137">
                  <c:v>235.44</c:v>
                </c:pt>
                <c:pt idx="138">
                  <c:v>236.2</c:v>
                </c:pt>
                <c:pt idx="139">
                  <c:v>240.79</c:v>
                </c:pt>
                <c:pt idx="140">
                  <c:v>242.88</c:v>
                </c:pt>
                <c:pt idx="141">
                  <c:v>239.16</c:v>
                </c:pt>
                <c:pt idx="142">
                  <c:v>235.43</c:v>
                </c:pt>
                <c:pt idx="143">
                  <c:v>234.87</c:v>
                </c:pt>
                <c:pt idx="144">
                  <c:v>237.72</c:v>
                </c:pt>
                <c:pt idx="145">
                  <c:v>242.53</c:v>
                </c:pt>
                <c:pt idx="146">
                  <c:v>255.16</c:v>
                </c:pt>
                <c:pt idx="147">
                  <c:v>267.79000000000002</c:v>
                </c:pt>
                <c:pt idx="148">
                  <c:v>275.36</c:v>
                </c:pt>
                <c:pt idx="149">
                  <c:v>273.52</c:v>
                </c:pt>
                <c:pt idx="150">
                  <c:v>271.68</c:v>
                </c:pt>
                <c:pt idx="151">
                  <c:v>274.51</c:v>
                </c:pt>
                <c:pt idx="152">
                  <c:v>277.86</c:v>
                </c:pt>
                <c:pt idx="153">
                  <c:v>278.75</c:v>
                </c:pt>
                <c:pt idx="154">
                  <c:v>275.27999999999997</c:v>
                </c:pt>
                <c:pt idx="155">
                  <c:v>271.81</c:v>
                </c:pt>
                <c:pt idx="156">
                  <c:v>269.32</c:v>
                </c:pt>
                <c:pt idx="157">
                  <c:v>266.93</c:v>
                </c:pt>
                <c:pt idx="158">
                  <c:v>265.95999999999998</c:v>
                </c:pt>
                <c:pt idx="159">
                  <c:v>268.01</c:v>
                </c:pt>
                <c:pt idx="160">
                  <c:v>270.06</c:v>
                </c:pt>
                <c:pt idx="161">
                  <c:v>272.11</c:v>
                </c:pt>
                <c:pt idx="162">
                  <c:v>274.16000000000003</c:v>
                </c:pt>
                <c:pt idx="163">
                  <c:v>273.23</c:v>
                </c:pt>
                <c:pt idx="164">
                  <c:v>270.22000000000003</c:v>
                </c:pt>
                <c:pt idx="165">
                  <c:v>267.22000000000003</c:v>
                </c:pt>
                <c:pt idx="166">
                  <c:v>269.27</c:v>
                </c:pt>
                <c:pt idx="167">
                  <c:v>272.92</c:v>
                </c:pt>
                <c:pt idx="168">
                  <c:v>273.44</c:v>
                </c:pt>
                <c:pt idx="169">
                  <c:v>269.81</c:v>
                </c:pt>
                <c:pt idx="170">
                  <c:v>266.18</c:v>
                </c:pt>
                <c:pt idx="171">
                  <c:v>277.41000000000003</c:v>
                </c:pt>
                <c:pt idx="172">
                  <c:v>289.42</c:v>
                </c:pt>
                <c:pt idx="173">
                  <c:v>291.70999999999998</c:v>
                </c:pt>
                <c:pt idx="174">
                  <c:v>280.02</c:v>
                </c:pt>
                <c:pt idx="175">
                  <c:v>268.33999999999997</c:v>
                </c:pt>
                <c:pt idx="176">
                  <c:v>260</c:v>
                </c:pt>
                <c:pt idx="177">
                  <c:v>252.5</c:v>
                </c:pt>
                <c:pt idx="178">
                  <c:v>245</c:v>
                </c:pt>
                <c:pt idx="179">
                  <c:v>237.51</c:v>
                </c:pt>
                <c:pt idx="180">
                  <c:v>230.31</c:v>
                </c:pt>
                <c:pt idx="181">
                  <c:v>225.05</c:v>
                </c:pt>
                <c:pt idx="182">
                  <c:v>219.79</c:v>
                </c:pt>
                <c:pt idx="183">
                  <c:v>211.62</c:v>
                </c:pt>
                <c:pt idx="184">
                  <c:v>200.16</c:v>
                </c:pt>
                <c:pt idx="185">
                  <c:v>191.69</c:v>
                </c:pt>
                <c:pt idx="186">
                  <c:v>195.12</c:v>
                </c:pt>
                <c:pt idx="187">
                  <c:v>198.55</c:v>
                </c:pt>
                <c:pt idx="188">
                  <c:v>198.89</c:v>
                </c:pt>
                <c:pt idx="189">
                  <c:v>195.15</c:v>
                </c:pt>
                <c:pt idx="190">
                  <c:v>191.41</c:v>
                </c:pt>
                <c:pt idx="191">
                  <c:v>192.8</c:v>
                </c:pt>
              </c:numCache>
            </c:numRef>
          </c:yVal>
          <c:smooth val="1"/>
          <c:extLst>
            <c:ext xmlns:c16="http://schemas.microsoft.com/office/drawing/2014/chart" uri="{C3380CC4-5D6E-409C-BE32-E72D297353CC}">
              <c16:uniqueId val="{00000000-20C1-43DB-83E2-657A08C4C7EF}"/>
            </c:ext>
          </c:extLst>
        </c:ser>
        <c:dLbls>
          <c:showLegendKey val="0"/>
          <c:showVal val="0"/>
          <c:showCatName val="0"/>
          <c:showSerName val="0"/>
          <c:showPercent val="0"/>
          <c:showBubbleSize val="0"/>
        </c:dLbls>
        <c:axId val="1552554912"/>
        <c:axId val="1552557792"/>
      </c:scatterChart>
      <c:scatterChart>
        <c:scatterStyle val="smoothMarker"/>
        <c:varyColors val="0"/>
        <c:ser>
          <c:idx val="1"/>
          <c:order val="1"/>
          <c:tx>
            <c:strRef>
              <c:f>'Task 2'!$H$1</c:f>
              <c:strCache>
                <c:ptCount val="1"/>
                <c:pt idx="0">
                  <c:v>T</c:v>
                </c:pt>
              </c:strCache>
            </c:strRef>
          </c:tx>
          <c:spPr>
            <a:ln w="19050" cap="rnd">
              <a:solidFill>
                <a:schemeClr val="accent2"/>
              </a:solidFill>
              <a:round/>
            </a:ln>
            <a:effectLst/>
          </c:spPr>
          <c:marker>
            <c:symbol val="none"/>
          </c:marker>
          <c:xVal>
            <c:numRef>
              <c:f>'Task 2'!$D$2:$D$193</c:f>
              <c:numCache>
                <c:formatCode>General</c:formatCode>
                <c:ptCount val="192"/>
                <c:pt idx="0">
                  <c:v>5.0599999999999996</c:v>
                </c:pt>
                <c:pt idx="1">
                  <c:v>5.45</c:v>
                </c:pt>
                <c:pt idx="2">
                  <c:v>5.85</c:v>
                </c:pt>
                <c:pt idx="3">
                  <c:v>6.27</c:v>
                </c:pt>
                <c:pt idx="4">
                  <c:v>6.7</c:v>
                </c:pt>
                <c:pt idx="5">
                  <c:v>7.14</c:v>
                </c:pt>
                <c:pt idx="6">
                  <c:v>7.57</c:v>
                </c:pt>
                <c:pt idx="7">
                  <c:v>8.01</c:v>
                </c:pt>
                <c:pt idx="8">
                  <c:v>8.44</c:v>
                </c:pt>
                <c:pt idx="9">
                  <c:v>8.8699999999999992</c:v>
                </c:pt>
                <c:pt idx="10">
                  <c:v>9.31</c:v>
                </c:pt>
                <c:pt idx="11">
                  <c:v>9.76</c:v>
                </c:pt>
                <c:pt idx="12">
                  <c:v>10.24</c:v>
                </c:pt>
                <c:pt idx="13">
                  <c:v>10.74</c:v>
                </c:pt>
                <c:pt idx="14">
                  <c:v>11.24</c:v>
                </c:pt>
                <c:pt idx="15">
                  <c:v>11.74</c:v>
                </c:pt>
                <c:pt idx="16">
                  <c:v>12.32</c:v>
                </c:pt>
                <c:pt idx="17">
                  <c:v>12.94</c:v>
                </c:pt>
                <c:pt idx="18">
                  <c:v>13.55</c:v>
                </c:pt>
                <c:pt idx="19">
                  <c:v>14.17</c:v>
                </c:pt>
                <c:pt idx="20">
                  <c:v>14.78</c:v>
                </c:pt>
                <c:pt idx="21">
                  <c:v>15.39</c:v>
                </c:pt>
                <c:pt idx="22">
                  <c:v>16.010000000000002</c:v>
                </c:pt>
                <c:pt idx="23">
                  <c:v>16.690000000000001</c:v>
                </c:pt>
                <c:pt idx="24">
                  <c:v>17.48</c:v>
                </c:pt>
                <c:pt idx="25">
                  <c:v>18.260000000000002</c:v>
                </c:pt>
                <c:pt idx="26">
                  <c:v>19.05</c:v>
                </c:pt>
                <c:pt idx="27">
                  <c:v>19.829999999999998</c:v>
                </c:pt>
                <c:pt idx="28">
                  <c:v>20.63</c:v>
                </c:pt>
                <c:pt idx="29">
                  <c:v>21.45</c:v>
                </c:pt>
                <c:pt idx="30">
                  <c:v>22.28</c:v>
                </c:pt>
                <c:pt idx="31">
                  <c:v>23.11</c:v>
                </c:pt>
                <c:pt idx="32">
                  <c:v>23.93</c:v>
                </c:pt>
                <c:pt idx="33">
                  <c:v>24.76</c:v>
                </c:pt>
                <c:pt idx="34">
                  <c:v>25.6</c:v>
                </c:pt>
                <c:pt idx="35">
                  <c:v>26.43</c:v>
                </c:pt>
                <c:pt idx="36">
                  <c:v>27.27</c:v>
                </c:pt>
                <c:pt idx="37">
                  <c:v>28.1</c:v>
                </c:pt>
                <c:pt idx="38">
                  <c:v>28.93</c:v>
                </c:pt>
                <c:pt idx="39">
                  <c:v>29.74</c:v>
                </c:pt>
                <c:pt idx="40">
                  <c:v>30.56</c:v>
                </c:pt>
                <c:pt idx="41">
                  <c:v>31.38</c:v>
                </c:pt>
                <c:pt idx="42">
                  <c:v>32.19</c:v>
                </c:pt>
                <c:pt idx="43">
                  <c:v>33</c:v>
                </c:pt>
                <c:pt idx="44">
                  <c:v>33.79</c:v>
                </c:pt>
                <c:pt idx="45">
                  <c:v>34.590000000000003</c:v>
                </c:pt>
                <c:pt idx="46">
                  <c:v>35.369999999999997</c:v>
                </c:pt>
                <c:pt idx="47">
                  <c:v>36.159999999999997</c:v>
                </c:pt>
                <c:pt idx="48">
                  <c:v>36.94</c:v>
                </c:pt>
                <c:pt idx="49">
                  <c:v>37.71</c:v>
                </c:pt>
                <c:pt idx="50">
                  <c:v>38.479999999999997</c:v>
                </c:pt>
                <c:pt idx="51">
                  <c:v>39.24</c:v>
                </c:pt>
                <c:pt idx="52">
                  <c:v>40.01</c:v>
                </c:pt>
                <c:pt idx="53">
                  <c:v>40.770000000000003</c:v>
                </c:pt>
                <c:pt idx="54">
                  <c:v>41.53</c:v>
                </c:pt>
                <c:pt idx="55">
                  <c:v>42.3</c:v>
                </c:pt>
                <c:pt idx="56">
                  <c:v>43.06</c:v>
                </c:pt>
                <c:pt idx="57">
                  <c:v>43.82</c:v>
                </c:pt>
                <c:pt idx="58">
                  <c:v>44.58</c:v>
                </c:pt>
                <c:pt idx="59">
                  <c:v>45.34</c:v>
                </c:pt>
                <c:pt idx="60">
                  <c:v>46.1</c:v>
                </c:pt>
                <c:pt idx="61">
                  <c:v>46.85</c:v>
                </c:pt>
                <c:pt idx="62">
                  <c:v>47.61</c:v>
                </c:pt>
                <c:pt idx="63">
                  <c:v>48.36</c:v>
                </c:pt>
                <c:pt idx="64">
                  <c:v>49.1</c:v>
                </c:pt>
                <c:pt idx="65">
                  <c:v>49.85</c:v>
                </c:pt>
                <c:pt idx="66">
                  <c:v>50.6</c:v>
                </c:pt>
                <c:pt idx="67">
                  <c:v>51.34</c:v>
                </c:pt>
                <c:pt idx="68">
                  <c:v>52.09</c:v>
                </c:pt>
                <c:pt idx="69">
                  <c:v>52.84</c:v>
                </c:pt>
                <c:pt idx="70">
                  <c:v>53.58</c:v>
                </c:pt>
                <c:pt idx="71">
                  <c:v>54.35</c:v>
                </c:pt>
                <c:pt idx="72">
                  <c:v>55.12</c:v>
                </c:pt>
                <c:pt idx="73">
                  <c:v>55.9</c:v>
                </c:pt>
                <c:pt idx="74">
                  <c:v>56.69</c:v>
                </c:pt>
                <c:pt idx="75">
                  <c:v>57.49</c:v>
                </c:pt>
                <c:pt idx="76">
                  <c:v>58.3</c:v>
                </c:pt>
                <c:pt idx="77">
                  <c:v>59.11</c:v>
                </c:pt>
                <c:pt idx="78">
                  <c:v>59.94</c:v>
                </c:pt>
                <c:pt idx="79">
                  <c:v>60.78</c:v>
                </c:pt>
                <c:pt idx="80">
                  <c:v>61.63</c:v>
                </c:pt>
                <c:pt idx="81">
                  <c:v>62.5</c:v>
                </c:pt>
                <c:pt idx="82">
                  <c:v>63.38</c:v>
                </c:pt>
                <c:pt idx="83">
                  <c:v>64.260000000000005</c:v>
                </c:pt>
                <c:pt idx="84">
                  <c:v>65.13</c:v>
                </c:pt>
                <c:pt idx="85">
                  <c:v>66.010000000000005</c:v>
                </c:pt>
                <c:pt idx="86">
                  <c:v>66.88</c:v>
                </c:pt>
                <c:pt idx="87">
                  <c:v>67.739999999999995</c:v>
                </c:pt>
                <c:pt idx="88">
                  <c:v>68.59</c:v>
                </c:pt>
                <c:pt idx="89">
                  <c:v>69.430000000000007</c:v>
                </c:pt>
                <c:pt idx="90">
                  <c:v>70.27</c:v>
                </c:pt>
                <c:pt idx="91">
                  <c:v>71.099999999999994</c:v>
                </c:pt>
                <c:pt idx="92">
                  <c:v>71.930000000000007</c:v>
                </c:pt>
                <c:pt idx="93">
                  <c:v>72.75</c:v>
                </c:pt>
                <c:pt idx="94">
                  <c:v>73.569999999999993</c:v>
                </c:pt>
                <c:pt idx="95">
                  <c:v>74.39</c:v>
                </c:pt>
                <c:pt idx="96">
                  <c:v>75.19</c:v>
                </c:pt>
                <c:pt idx="97">
                  <c:v>75.989999999999995</c:v>
                </c:pt>
                <c:pt idx="98">
                  <c:v>76.790000000000006</c:v>
                </c:pt>
                <c:pt idx="99">
                  <c:v>77.58</c:v>
                </c:pt>
                <c:pt idx="100">
                  <c:v>78.37</c:v>
                </c:pt>
                <c:pt idx="101">
                  <c:v>79.150000000000006</c:v>
                </c:pt>
                <c:pt idx="102">
                  <c:v>79.930000000000007</c:v>
                </c:pt>
                <c:pt idx="103">
                  <c:v>80.7</c:v>
                </c:pt>
                <c:pt idx="104">
                  <c:v>81.47</c:v>
                </c:pt>
                <c:pt idx="105">
                  <c:v>82.24</c:v>
                </c:pt>
                <c:pt idx="106">
                  <c:v>83.01</c:v>
                </c:pt>
                <c:pt idx="107">
                  <c:v>83.78</c:v>
                </c:pt>
                <c:pt idx="108">
                  <c:v>84.55</c:v>
                </c:pt>
                <c:pt idx="109">
                  <c:v>85.33</c:v>
                </c:pt>
                <c:pt idx="110">
                  <c:v>86.1</c:v>
                </c:pt>
                <c:pt idx="111">
                  <c:v>86.88</c:v>
                </c:pt>
                <c:pt idx="112">
                  <c:v>87.65</c:v>
                </c:pt>
                <c:pt idx="113">
                  <c:v>88.43</c:v>
                </c:pt>
                <c:pt idx="114">
                  <c:v>89.21</c:v>
                </c:pt>
                <c:pt idx="115">
                  <c:v>89.99</c:v>
                </c:pt>
                <c:pt idx="116">
                  <c:v>90.78</c:v>
                </c:pt>
                <c:pt idx="117">
                  <c:v>91.56</c:v>
                </c:pt>
                <c:pt idx="118">
                  <c:v>92.35</c:v>
                </c:pt>
                <c:pt idx="119">
                  <c:v>93.15</c:v>
                </c:pt>
                <c:pt idx="120">
                  <c:v>93.94</c:v>
                </c:pt>
                <c:pt idx="121">
                  <c:v>94.73</c:v>
                </c:pt>
                <c:pt idx="122">
                  <c:v>95.53</c:v>
                </c:pt>
                <c:pt idx="123">
                  <c:v>96.33</c:v>
                </c:pt>
                <c:pt idx="124">
                  <c:v>97.13</c:v>
                </c:pt>
                <c:pt idx="125">
                  <c:v>97.93</c:v>
                </c:pt>
                <c:pt idx="126">
                  <c:v>98.74</c:v>
                </c:pt>
                <c:pt idx="127">
                  <c:v>99.55</c:v>
                </c:pt>
                <c:pt idx="128">
                  <c:v>100.38</c:v>
                </c:pt>
                <c:pt idx="129">
                  <c:v>101.23</c:v>
                </c:pt>
                <c:pt idx="130">
                  <c:v>102.08</c:v>
                </c:pt>
                <c:pt idx="131">
                  <c:v>102.97</c:v>
                </c:pt>
                <c:pt idx="132">
                  <c:v>103.87</c:v>
                </c:pt>
                <c:pt idx="133">
                  <c:v>104.78</c:v>
                </c:pt>
                <c:pt idx="134">
                  <c:v>105.71</c:v>
                </c:pt>
                <c:pt idx="135">
                  <c:v>106.65</c:v>
                </c:pt>
                <c:pt idx="136">
                  <c:v>107.64</c:v>
                </c:pt>
                <c:pt idx="137">
                  <c:v>108.62</c:v>
                </c:pt>
                <c:pt idx="138">
                  <c:v>109.6</c:v>
                </c:pt>
                <c:pt idx="139">
                  <c:v>110.57</c:v>
                </c:pt>
                <c:pt idx="140">
                  <c:v>111.53</c:v>
                </c:pt>
                <c:pt idx="141">
                  <c:v>112.45</c:v>
                </c:pt>
                <c:pt idx="142">
                  <c:v>113.37</c:v>
                </c:pt>
                <c:pt idx="143">
                  <c:v>114.27</c:v>
                </c:pt>
                <c:pt idx="144">
                  <c:v>115.15</c:v>
                </c:pt>
                <c:pt idx="145">
                  <c:v>116.02</c:v>
                </c:pt>
                <c:pt idx="146">
                  <c:v>116.85</c:v>
                </c:pt>
                <c:pt idx="147">
                  <c:v>117.68</c:v>
                </c:pt>
                <c:pt idx="148">
                  <c:v>118.5</c:v>
                </c:pt>
                <c:pt idx="149">
                  <c:v>119.29</c:v>
                </c:pt>
                <c:pt idx="150">
                  <c:v>120.09</c:v>
                </c:pt>
                <c:pt idx="151">
                  <c:v>120.85</c:v>
                </c:pt>
                <c:pt idx="152">
                  <c:v>121.61</c:v>
                </c:pt>
                <c:pt idx="153">
                  <c:v>122.36</c:v>
                </c:pt>
                <c:pt idx="154">
                  <c:v>123.1</c:v>
                </c:pt>
                <c:pt idx="155">
                  <c:v>123.83</c:v>
                </c:pt>
                <c:pt idx="156">
                  <c:v>124.54</c:v>
                </c:pt>
                <c:pt idx="157">
                  <c:v>125.25</c:v>
                </c:pt>
                <c:pt idx="158">
                  <c:v>125.95</c:v>
                </c:pt>
                <c:pt idx="159">
                  <c:v>126.65</c:v>
                </c:pt>
                <c:pt idx="160">
                  <c:v>127.34</c:v>
                </c:pt>
                <c:pt idx="161">
                  <c:v>128.04</c:v>
                </c:pt>
                <c:pt idx="162">
                  <c:v>128.74</c:v>
                </c:pt>
                <c:pt idx="163">
                  <c:v>129.44</c:v>
                </c:pt>
                <c:pt idx="164">
                  <c:v>130.15</c:v>
                </c:pt>
                <c:pt idx="165">
                  <c:v>130.86000000000001</c:v>
                </c:pt>
                <c:pt idx="166">
                  <c:v>131.57</c:v>
                </c:pt>
                <c:pt idx="167">
                  <c:v>132.29</c:v>
                </c:pt>
                <c:pt idx="168">
                  <c:v>133.01</c:v>
                </c:pt>
                <c:pt idx="169">
                  <c:v>133.74</c:v>
                </c:pt>
                <c:pt idx="170">
                  <c:v>134.47</c:v>
                </c:pt>
                <c:pt idx="171">
                  <c:v>135.24</c:v>
                </c:pt>
                <c:pt idx="172">
                  <c:v>136</c:v>
                </c:pt>
                <c:pt idx="173">
                  <c:v>136.80000000000001</c:v>
                </c:pt>
                <c:pt idx="174">
                  <c:v>137.63999999999999</c:v>
                </c:pt>
                <c:pt idx="175">
                  <c:v>138.49</c:v>
                </c:pt>
                <c:pt idx="176">
                  <c:v>139.43</c:v>
                </c:pt>
                <c:pt idx="177">
                  <c:v>140.4</c:v>
                </c:pt>
                <c:pt idx="178">
                  <c:v>141.38999999999999</c:v>
                </c:pt>
                <c:pt idx="179">
                  <c:v>142.49</c:v>
                </c:pt>
                <c:pt idx="180">
                  <c:v>143.61000000000001</c:v>
                </c:pt>
                <c:pt idx="181">
                  <c:v>144.88999999999999</c:v>
                </c:pt>
                <c:pt idx="182">
                  <c:v>146.18</c:v>
                </c:pt>
                <c:pt idx="183">
                  <c:v>147.58000000000001</c:v>
                </c:pt>
                <c:pt idx="184">
                  <c:v>149.11000000000001</c:v>
                </c:pt>
                <c:pt idx="185">
                  <c:v>150.66999999999999</c:v>
                </c:pt>
                <c:pt idx="186">
                  <c:v>152.35</c:v>
                </c:pt>
                <c:pt idx="187">
                  <c:v>154.02000000000001</c:v>
                </c:pt>
                <c:pt idx="188">
                  <c:v>155.69999999999999</c:v>
                </c:pt>
                <c:pt idx="189">
                  <c:v>157.38</c:v>
                </c:pt>
                <c:pt idx="190">
                  <c:v>159.05000000000001</c:v>
                </c:pt>
                <c:pt idx="191">
                  <c:v>160.72999999999999</c:v>
                </c:pt>
              </c:numCache>
            </c:numRef>
          </c:xVal>
          <c:yVal>
            <c:numRef>
              <c:f>'Task 2'!$H$2:$H$193</c:f>
              <c:numCache>
                <c:formatCode>General</c:formatCode>
                <c:ptCount val="192"/>
                <c:pt idx="0">
                  <c:v>-55.45333333333334</c:v>
                </c:pt>
                <c:pt idx="1">
                  <c:v>-55.813333333333333</c:v>
                </c:pt>
                <c:pt idx="2">
                  <c:v>-54.62833333333333</c:v>
                </c:pt>
                <c:pt idx="3">
                  <c:v>-55.56</c:v>
                </c:pt>
                <c:pt idx="4">
                  <c:v>-55.71</c:v>
                </c:pt>
                <c:pt idx="5">
                  <c:v>-52.808333333333337</c:v>
                </c:pt>
                <c:pt idx="6">
                  <c:v>-55.298333333333339</c:v>
                </c:pt>
                <c:pt idx="7">
                  <c:v>-55.323333333333331</c:v>
                </c:pt>
                <c:pt idx="8">
                  <c:v>-54.783333333333331</c:v>
                </c:pt>
                <c:pt idx="9">
                  <c:v>-54.553333333333335</c:v>
                </c:pt>
                <c:pt idx="10">
                  <c:v>-55.396666666666668</c:v>
                </c:pt>
                <c:pt idx="11">
                  <c:v>-54.773333333333333</c:v>
                </c:pt>
                <c:pt idx="12">
                  <c:v>-56.041666666666664</c:v>
                </c:pt>
                <c:pt idx="13">
                  <c:v>-57.851666666666667</c:v>
                </c:pt>
                <c:pt idx="14">
                  <c:v>-58.879999999999995</c:v>
                </c:pt>
                <c:pt idx="15">
                  <c:v>-58.593333333333334</c:v>
                </c:pt>
                <c:pt idx="16">
                  <c:v>-57.37166666666667</c:v>
                </c:pt>
                <c:pt idx="17">
                  <c:v>-59.156666666666666</c:v>
                </c:pt>
                <c:pt idx="18">
                  <c:v>-60.646666666666668</c:v>
                </c:pt>
                <c:pt idx="19">
                  <c:v>-61.636666666666663</c:v>
                </c:pt>
                <c:pt idx="20">
                  <c:v>-62.831666666666671</c:v>
                </c:pt>
                <c:pt idx="21">
                  <c:v>-63.761666666666663</c:v>
                </c:pt>
                <c:pt idx="22">
                  <c:v>-64.656666666666666</c:v>
                </c:pt>
                <c:pt idx="23">
                  <c:v>-63.66</c:v>
                </c:pt>
                <c:pt idx="24">
                  <c:v>-64.931666666666658</c:v>
                </c:pt>
                <c:pt idx="25">
                  <c:v>-64.41</c:v>
                </c:pt>
                <c:pt idx="26">
                  <c:v>-64.36666666666666</c:v>
                </c:pt>
                <c:pt idx="27">
                  <c:v>-65.271666666666661</c:v>
                </c:pt>
                <c:pt idx="28">
                  <c:v>-64.62</c:v>
                </c:pt>
                <c:pt idx="29">
                  <c:v>-64.765000000000001</c:v>
                </c:pt>
                <c:pt idx="30">
                  <c:v>-63.414999999999999</c:v>
                </c:pt>
                <c:pt idx="31">
                  <c:v>-63.9</c:v>
                </c:pt>
                <c:pt idx="32">
                  <c:v>-64.135000000000005</c:v>
                </c:pt>
                <c:pt idx="33">
                  <c:v>-64.989999999999995</c:v>
                </c:pt>
                <c:pt idx="34">
                  <c:v>-63.754999999999995</c:v>
                </c:pt>
                <c:pt idx="35">
                  <c:v>-62.948333333333331</c:v>
                </c:pt>
                <c:pt idx="36">
                  <c:v>-64.556666666666658</c:v>
                </c:pt>
                <c:pt idx="37">
                  <c:v>-63.586666666666666</c:v>
                </c:pt>
                <c:pt idx="38">
                  <c:v>-64.239999999999995</c:v>
                </c:pt>
                <c:pt idx="39">
                  <c:v>-63.018333333333338</c:v>
                </c:pt>
                <c:pt idx="40">
                  <c:v>-63.691666666666663</c:v>
                </c:pt>
                <c:pt idx="41">
                  <c:v>-62.754999999999995</c:v>
                </c:pt>
                <c:pt idx="42">
                  <c:v>-61.185000000000002</c:v>
                </c:pt>
                <c:pt idx="43">
                  <c:v>-61.601666666666667</c:v>
                </c:pt>
                <c:pt idx="44">
                  <c:v>-63.264999999999993</c:v>
                </c:pt>
                <c:pt idx="45">
                  <c:v>-62.851666666666667</c:v>
                </c:pt>
                <c:pt idx="46">
                  <c:v>-62.401666666666671</c:v>
                </c:pt>
                <c:pt idx="47">
                  <c:v>-62.761666666666663</c:v>
                </c:pt>
                <c:pt idx="48">
                  <c:v>-62.133333333333333</c:v>
                </c:pt>
                <c:pt idx="49">
                  <c:v>-62.343333333333334</c:v>
                </c:pt>
                <c:pt idx="50">
                  <c:v>-62.311666666666667</c:v>
                </c:pt>
                <c:pt idx="51">
                  <c:v>-60.76</c:v>
                </c:pt>
                <c:pt idx="52">
                  <c:v>-61.745000000000005</c:v>
                </c:pt>
                <c:pt idx="53">
                  <c:v>-61.448333333333331</c:v>
                </c:pt>
                <c:pt idx="54">
                  <c:v>-62.96</c:v>
                </c:pt>
                <c:pt idx="55">
                  <c:v>-62.705000000000005</c:v>
                </c:pt>
                <c:pt idx="56">
                  <c:v>-63.04666666666666</c:v>
                </c:pt>
                <c:pt idx="57">
                  <c:v>-62.741666666666667</c:v>
                </c:pt>
                <c:pt idx="58">
                  <c:v>-62.493333333333332</c:v>
                </c:pt>
                <c:pt idx="59">
                  <c:v>-61.955000000000005</c:v>
                </c:pt>
                <c:pt idx="60">
                  <c:v>-61.783333333333331</c:v>
                </c:pt>
                <c:pt idx="61">
                  <c:v>-61.501666666666665</c:v>
                </c:pt>
                <c:pt idx="62">
                  <c:v>-61.876666666666665</c:v>
                </c:pt>
                <c:pt idx="63">
                  <c:v>-61.4</c:v>
                </c:pt>
                <c:pt idx="64">
                  <c:v>-62.043333333333329</c:v>
                </c:pt>
                <c:pt idx="65">
                  <c:v>-61.31</c:v>
                </c:pt>
                <c:pt idx="66">
                  <c:v>-62.763333333333328</c:v>
                </c:pt>
                <c:pt idx="67">
                  <c:v>-62.305</c:v>
                </c:pt>
                <c:pt idx="68">
                  <c:v>-60.961666666666666</c:v>
                </c:pt>
                <c:pt idx="69">
                  <c:v>-60.186666666666667</c:v>
                </c:pt>
                <c:pt idx="70">
                  <c:v>-59.526666666666671</c:v>
                </c:pt>
                <c:pt idx="71">
                  <c:v>-60.72</c:v>
                </c:pt>
                <c:pt idx="72">
                  <c:v>-61.49666666666667</c:v>
                </c:pt>
                <c:pt idx="73">
                  <c:v>-61.37833333333333</c:v>
                </c:pt>
                <c:pt idx="74">
                  <c:v>-62.32</c:v>
                </c:pt>
                <c:pt idx="75">
                  <c:v>-62.981666666666662</c:v>
                </c:pt>
                <c:pt idx="76">
                  <c:v>-63.588333333333331</c:v>
                </c:pt>
                <c:pt idx="77">
                  <c:v>-62.32833333333334</c:v>
                </c:pt>
                <c:pt idx="78">
                  <c:v>-63.856666666666662</c:v>
                </c:pt>
                <c:pt idx="79">
                  <c:v>-64.101666666666674</c:v>
                </c:pt>
                <c:pt idx="80">
                  <c:v>-64.421666666666667</c:v>
                </c:pt>
                <c:pt idx="81">
                  <c:v>-63.455000000000005</c:v>
                </c:pt>
                <c:pt idx="82">
                  <c:v>-63.751666666666665</c:v>
                </c:pt>
                <c:pt idx="83">
                  <c:v>-62.104999999999997</c:v>
                </c:pt>
                <c:pt idx="84">
                  <c:v>-62.830000000000005</c:v>
                </c:pt>
                <c:pt idx="85">
                  <c:v>-62.733333333333327</c:v>
                </c:pt>
                <c:pt idx="86">
                  <c:v>-61.826666666666661</c:v>
                </c:pt>
                <c:pt idx="87">
                  <c:v>-62.771666666666668</c:v>
                </c:pt>
                <c:pt idx="88">
                  <c:v>-63.108333333333327</c:v>
                </c:pt>
                <c:pt idx="89">
                  <c:v>-62.96</c:v>
                </c:pt>
                <c:pt idx="90">
                  <c:v>-61.705000000000005</c:v>
                </c:pt>
                <c:pt idx="91">
                  <c:v>-60.358333333333327</c:v>
                </c:pt>
                <c:pt idx="92">
                  <c:v>-61.568333333333335</c:v>
                </c:pt>
                <c:pt idx="93">
                  <c:v>-63.236666666666672</c:v>
                </c:pt>
                <c:pt idx="94">
                  <c:v>-61.723333333333329</c:v>
                </c:pt>
                <c:pt idx="95">
                  <c:v>-62.46</c:v>
                </c:pt>
                <c:pt idx="96">
                  <c:v>-61.536666666666669</c:v>
                </c:pt>
                <c:pt idx="97">
                  <c:v>-60.063333333333333</c:v>
                </c:pt>
                <c:pt idx="98">
                  <c:v>-59.783333333333331</c:v>
                </c:pt>
                <c:pt idx="99">
                  <c:v>-59.123333333333335</c:v>
                </c:pt>
                <c:pt idx="100">
                  <c:v>-59.976666666666667</c:v>
                </c:pt>
                <c:pt idx="101">
                  <c:v>-59.195</c:v>
                </c:pt>
                <c:pt idx="102">
                  <c:v>-59.98</c:v>
                </c:pt>
                <c:pt idx="103">
                  <c:v>-59.241666666666667</c:v>
                </c:pt>
                <c:pt idx="104">
                  <c:v>-58.139999999999993</c:v>
                </c:pt>
                <c:pt idx="105">
                  <c:v>-59.055</c:v>
                </c:pt>
                <c:pt idx="106">
                  <c:v>-59.768333333333338</c:v>
                </c:pt>
                <c:pt idx="107">
                  <c:v>-60.233333333333327</c:v>
                </c:pt>
                <c:pt idx="108">
                  <c:v>-60.298333333333339</c:v>
                </c:pt>
                <c:pt idx="109">
                  <c:v>-59.858333333333327</c:v>
                </c:pt>
                <c:pt idx="110">
                  <c:v>-61.16</c:v>
                </c:pt>
                <c:pt idx="111">
                  <c:v>-62.12166666666667</c:v>
                </c:pt>
                <c:pt idx="112">
                  <c:v>-61.824999999999996</c:v>
                </c:pt>
                <c:pt idx="113">
                  <c:v>-60.54666666666666</c:v>
                </c:pt>
                <c:pt idx="114">
                  <c:v>-61.398333333333333</c:v>
                </c:pt>
                <c:pt idx="115">
                  <c:v>-60.695</c:v>
                </c:pt>
                <c:pt idx="116">
                  <c:v>-59.62833333333333</c:v>
                </c:pt>
                <c:pt idx="117">
                  <c:v>-60.733333333333327</c:v>
                </c:pt>
                <c:pt idx="118">
                  <c:v>-60.473333333333329</c:v>
                </c:pt>
                <c:pt idx="119">
                  <c:v>-59.928333333333335</c:v>
                </c:pt>
                <c:pt idx="120">
                  <c:v>-60.245000000000005</c:v>
                </c:pt>
                <c:pt idx="121">
                  <c:v>-60.833333333333336</c:v>
                </c:pt>
                <c:pt idx="122">
                  <c:v>-60.57</c:v>
                </c:pt>
                <c:pt idx="123">
                  <c:v>-59.615000000000002</c:v>
                </c:pt>
                <c:pt idx="124">
                  <c:v>-59.805</c:v>
                </c:pt>
                <c:pt idx="125">
                  <c:v>-59.74666666666667</c:v>
                </c:pt>
                <c:pt idx="126">
                  <c:v>-59.361666666666672</c:v>
                </c:pt>
                <c:pt idx="127">
                  <c:v>-58.781666666666666</c:v>
                </c:pt>
                <c:pt idx="128">
                  <c:v>-58.373333333333335</c:v>
                </c:pt>
                <c:pt idx="129">
                  <c:v>-58.981666666666662</c:v>
                </c:pt>
                <c:pt idx="130">
                  <c:v>-60.183333333333337</c:v>
                </c:pt>
                <c:pt idx="131">
                  <c:v>-59.908333333333331</c:v>
                </c:pt>
                <c:pt idx="132">
                  <c:v>-60.405000000000001</c:v>
                </c:pt>
                <c:pt idx="133">
                  <c:v>-59.988333333333337</c:v>
                </c:pt>
                <c:pt idx="134">
                  <c:v>-60.29</c:v>
                </c:pt>
                <c:pt idx="135">
                  <c:v>-60.351666666666667</c:v>
                </c:pt>
                <c:pt idx="136">
                  <c:v>-62.861666666666672</c:v>
                </c:pt>
                <c:pt idx="137">
                  <c:v>-62.42166666666666</c:v>
                </c:pt>
                <c:pt idx="138">
                  <c:v>-62.104999999999997</c:v>
                </c:pt>
                <c:pt idx="139">
                  <c:v>-61.566666666666663</c:v>
                </c:pt>
                <c:pt idx="140">
                  <c:v>-61.963333333333331</c:v>
                </c:pt>
                <c:pt idx="141">
                  <c:v>-62.298333333333339</c:v>
                </c:pt>
                <c:pt idx="142">
                  <c:v>-62.106666666666662</c:v>
                </c:pt>
                <c:pt idx="143">
                  <c:v>-61.156666666666666</c:v>
                </c:pt>
                <c:pt idx="144">
                  <c:v>-60.216666666666669</c:v>
                </c:pt>
                <c:pt idx="145">
                  <c:v>-60.178333333333335</c:v>
                </c:pt>
                <c:pt idx="146">
                  <c:v>-58.893333333333338</c:v>
                </c:pt>
                <c:pt idx="147">
                  <c:v>-58.548333333333339</c:v>
                </c:pt>
                <c:pt idx="148">
                  <c:v>-57.435000000000002</c:v>
                </c:pt>
                <c:pt idx="149">
                  <c:v>-57.50333333333333</c:v>
                </c:pt>
                <c:pt idx="150">
                  <c:v>-56.983333333333327</c:v>
                </c:pt>
                <c:pt idx="151">
                  <c:v>-56.801666666666669</c:v>
                </c:pt>
                <c:pt idx="152">
                  <c:v>-56.85</c:v>
                </c:pt>
                <c:pt idx="153">
                  <c:v>-56.695</c:v>
                </c:pt>
                <c:pt idx="154">
                  <c:v>-55.818333333333335</c:v>
                </c:pt>
                <c:pt idx="155">
                  <c:v>-55.971666666666664</c:v>
                </c:pt>
                <c:pt idx="156">
                  <c:v>-54.933333333333337</c:v>
                </c:pt>
                <c:pt idx="157">
                  <c:v>-55.261666666666663</c:v>
                </c:pt>
                <c:pt idx="158">
                  <c:v>-56.048333333333339</c:v>
                </c:pt>
                <c:pt idx="159">
                  <c:v>-55.388333333333328</c:v>
                </c:pt>
                <c:pt idx="160">
                  <c:v>-54.618333333333332</c:v>
                </c:pt>
                <c:pt idx="161">
                  <c:v>-54.925000000000004</c:v>
                </c:pt>
                <c:pt idx="162">
                  <c:v>-54.678333333333335</c:v>
                </c:pt>
                <c:pt idx="163">
                  <c:v>-55.011666666666663</c:v>
                </c:pt>
                <c:pt idx="164">
                  <c:v>-54.721666666666664</c:v>
                </c:pt>
                <c:pt idx="165">
                  <c:v>-53.843333333333334</c:v>
                </c:pt>
                <c:pt idx="166">
                  <c:v>-53.09</c:v>
                </c:pt>
                <c:pt idx="167">
                  <c:v>-53.358333333333327</c:v>
                </c:pt>
                <c:pt idx="168">
                  <c:v>-52.330000000000005</c:v>
                </c:pt>
                <c:pt idx="169">
                  <c:v>-53.585000000000001</c:v>
                </c:pt>
                <c:pt idx="170">
                  <c:v>-55.648333333333333</c:v>
                </c:pt>
                <c:pt idx="171">
                  <c:v>-53.906666666666666</c:v>
                </c:pt>
                <c:pt idx="172">
                  <c:v>-55.034999999999997</c:v>
                </c:pt>
                <c:pt idx="173">
                  <c:v>-55.943333333333335</c:v>
                </c:pt>
                <c:pt idx="174">
                  <c:v>-57.925000000000004</c:v>
                </c:pt>
                <c:pt idx="175">
                  <c:v>-58.29</c:v>
                </c:pt>
                <c:pt idx="176">
                  <c:v>-59.506666666666668</c:v>
                </c:pt>
                <c:pt idx="177">
                  <c:v>-61.113333333333337</c:v>
                </c:pt>
                <c:pt idx="178">
                  <c:v>-62.844999999999999</c:v>
                </c:pt>
                <c:pt idx="179">
                  <c:v>-63.306666666666665</c:v>
                </c:pt>
                <c:pt idx="180">
                  <c:v>-63.055</c:v>
                </c:pt>
                <c:pt idx="181">
                  <c:v>-64.95</c:v>
                </c:pt>
                <c:pt idx="182">
                  <c:v>-64.898333333333326</c:v>
                </c:pt>
                <c:pt idx="183">
                  <c:v>-63.914999999999999</c:v>
                </c:pt>
                <c:pt idx="184">
                  <c:v>-64.166666666666671</c:v>
                </c:pt>
                <c:pt idx="185">
                  <c:v>-63.918333333333329</c:v>
                </c:pt>
                <c:pt idx="186">
                  <c:v>-64.788333333333341</c:v>
                </c:pt>
                <c:pt idx="187">
                  <c:v>-63.966666666666669</c:v>
                </c:pt>
                <c:pt idx="188">
                  <c:v>-64.678333333333327</c:v>
                </c:pt>
                <c:pt idx="189">
                  <c:v>-64.179999999999993</c:v>
                </c:pt>
                <c:pt idx="190">
                  <c:v>-64.923333333333332</c:v>
                </c:pt>
                <c:pt idx="191">
                  <c:v>-64.208333333333329</c:v>
                </c:pt>
              </c:numCache>
            </c:numRef>
          </c:yVal>
          <c:smooth val="1"/>
          <c:extLst>
            <c:ext xmlns:c16="http://schemas.microsoft.com/office/drawing/2014/chart" uri="{C3380CC4-5D6E-409C-BE32-E72D297353CC}">
              <c16:uniqueId val="{00000001-20C1-43DB-83E2-657A08C4C7EF}"/>
            </c:ext>
          </c:extLst>
        </c:ser>
        <c:dLbls>
          <c:showLegendKey val="0"/>
          <c:showVal val="0"/>
          <c:showCatName val="0"/>
          <c:showSerName val="0"/>
          <c:showPercent val="0"/>
          <c:showBubbleSize val="0"/>
        </c:dLbls>
        <c:axId val="1552564032"/>
        <c:axId val="1552537152"/>
      </c:scatterChart>
      <c:valAx>
        <c:axId val="15525549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of 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557792"/>
        <c:crosses val="autoZero"/>
        <c:crossBetween val="midCat"/>
      </c:valAx>
      <c:valAx>
        <c:axId val="1552557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Temperature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554912"/>
        <c:crosses val="autoZero"/>
        <c:crossBetween val="midCat"/>
      </c:valAx>
      <c:valAx>
        <c:axId val="1552537152"/>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564032"/>
        <c:crosses val="max"/>
        <c:crossBetween val="midCat"/>
      </c:valAx>
      <c:valAx>
        <c:axId val="1552564032"/>
        <c:scaling>
          <c:orientation val="minMax"/>
        </c:scaling>
        <c:delete val="1"/>
        <c:axPos val="b"/>
        <c:numFmt formatCode="General" sourceLinked="1"/>
        <c:majorTickMark val="out"/>
        <c:minorTickMark val="none"/>
        <c:tickLblPos val="nextTo"/>
        <c:crossAx val="1552537152"/>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Temp vs Co2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3'!$D$1</c:f>
              <c:strCache>
                <c:ptCount val="1"/>
                <c:pt idx="0">
                  <c:v>T</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2.8302274715660544E-2"/>
                  <c:y val="-0.2681652814231554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 3'!$C$2:$C$193</c:f>
              <c:numCache>
                <c:formatCode>General</c:formatCode>
                <c:ptCount val="192"/>
                <c:pt idx="0">
                  <c:v>272.14</c:v>
                </c:pt>
                <c:pt idx="1">
                  <c:v>271.22000000000003</c:v>
                </c:pt>
                <c:pt idx="2">
                  <c:v>270.29000000000002</c:v>
                </c:pt>
                <c:pt idx="3">
                  <c:v>268.39</c:v>
                </c:pt>
                <c:pt idx="4">
                  <c:v>266.06</c:v>
                </c:pt>
                <c:pt idx="5">
                  <c:v>263.73</c:v>
                </c:pt>
                <c:pt idx="6">
                  <c:v>261.39999999999998</c:v>
                </c:pt>
                <c:pt idx="7">
                  <c:v>259.06</c:v>
                </c:pt>
                <c:pt idx="8">
                  <c:v>256.73</c:v>
                </c:pt>
                <c:pt idx="9">
                  <c:v>254.4</c:v>
                </c:pt>
                <c:pt idx="10">
                  <c:v>252.07</c:v>
                </c:pt>
                <c:pt idx="11">
                  <c:v>255.09</c:v>
                </c:pt>
                <c:pt idx="12">
                  <c:v>257.22000000000003</c:v>
                </c:pt>
                <c:pt idx="13">
                  <c:v>257.77</c:v>
                </c:pt>
                <c:pt idx="14">
                  <c:v>258.31</c:v>
                </c:pt>
                <c:pt idx="15">
                  <c:v>258.86</c:v>
                </c:pt>
                <c:pt idx="16">
                  <c:v>257.58</c:v>
                </c:pt>
                <c:pt idx="17">
                  <c:v>255.66</c:v>
                </c:pt>
                <c:pt idx="18">
                  <c:v>253.75</c:v>
                </c:pt>
                <c:pt idx="19">
                  <c:v>251.83</c:v>
                </c:pt>
                <c:pt idx="20">
                  <c:v>249.91</c:v>
                </c:pt>
                <c:pt idx="21">
                  <c:v>247.99</c:v>
                </c:pt>
                <c:pt idx="22">
                  <c:v>246.07</c:v>
                </c:pt>
                <c:pt idx="23">
                  <c:v>240.5</c:v>
                </c:pt>
                <c:pt idx="24">
                  <c:v>230.26</c:v>
                </c:pt>
                <c:pt idx="25">
                  <c:v>220.02</c:v>
                </c:pt>
                <c:pt idx="26">
                  <c:v>209.79</c:v>
                </c:pt>
                <c:pt idx="27">
                  <c:v>199.55</c:v>
                </c:pt>
                <c:pt idx="28">
                  <c:v>193.11</c:v>
                </c:pt>
                <c:pt idx="29">
                  <c:v>193.43</c:v>
                </c:pt>
                <c:pt idx="30">
                  <c:v>193.74</c:v>
                </c:pt>
                <c:pt idx="31">
                  <c:v>194.05</c:v>
                </c:pt>
                <c:pt idx="32">
                  <c:v>194.37</c:v>
                </c:pt>
                <c:pt idx="33">
                  <c:v>195.13</c:v>
                </c:pt>
                <c:pt idx="34">
                  <c:v>196.21</c:v>
                </c:pt>
                <c:pt idx="35">
                  <c:v>197.29</c:v>
                </c:pt>
                <c:pt idx="36">
                  <c:v>198.37</c:v>
                </c:pt>
                <c:pt idx="37">
                  <c:v>199.45</c:v>
                </c:pt>
                <c:pt idx="38">
                  <c:v>199.81</c:v>
                </c:pt>
                <c:pt idx="39">
                  <c:v>199.41</c:v>
                </c:pt>
                <c:pt idx="40">
                  <c:v>199.02</c:v>
                </c:pt>
                <c:pt idx="41">
                  <c:v>198.63</c:v>
                </c:pt>
                <c:pt idx="42">
                  <c:v>198.24</c:v>
                </c:pt>
                <c:pt idx="43">
                  <c:v>201.8</c:v>
                </c:pt>
                <c:pt idx="44">
                  <c:v>211.31</c:v>
                </c:pt>
                <c:pt idx="45">
                  <c:v>220.81</c:v>
                </c:pt>
                <c:pt idx="46">
                  <c:v>217.71</c:v>
                </c:pt>
                <c:pt idx="47">
                  <c:v>210.85</c:v>
                </c:pt>
                <c:pt idx="48">
                  <c:v>207.51</c:v>
                </c:pt>
                <c:pt idx="49">
                  <c:v>208.66</c:v>
                </c:pt>
                <c:pt idx="50">
                  <c:v>209.82</c:v>
                </c:pt>
                <c:pt idx="51">
                  <c:v>209.48</c:v>
                </c:pt>
                <c:pt idx="52">
                  <c:v>208.87</c:v>
                </c:pt>
                <c:pt idx="53">
                  <c:v>208.25</c:v>
                </c:pt>
                <c:pt idx="54">
                  <c:v>207.63</c:v>
                </c:pt>
                <c:pt idx="55">
                  <c:v>207.02</c:v>
                </c:pt>
                <c:pt idx="56">
                  <c:v>201.24</c:v>
                </c:pt>
                <c:pt idx="57">
                  <c:v>195.3</c:v>
                </c:pt>
                <c:pt idx="58">
                  <c:v>189.37</c:v>
                </c:pt>
                <c:pt idx="59">
                  <c:v>183.43</c:v>
                </c:pt>
                <c:pt idx="60">
                  <c:v>179.86</c:v>
                </c:pt>
                <c:pt idx="61">
                  <c:v>187.85</c:v>
                </c:pt>
                <c:pt idx="62">
                  <c:v>195.84</c:v>
                </c:pt>
                <c:pt idx="63">
                  <c:v>201.49</c:v>
                </c:pt>
                <c:pt idx="64">
                  <c:v>204.6</c:v>
                </c:pt>
                <c:pt idx="65">
                  <c:v>207.7</c:v>
                </c:pt>
                <c:pt idx="66">
                  <c:v>206.42</c:v>
                </c:pt>
                <c:pt idx="67">
                  <c:v>205.15</c:v>
                </c:pt>
                <c:pt idx="68">
                  <c:v>203.87</c:v>
                </c:pt>
                <c:pt idx="69">
                  <c:v>202.6</c:v>
                </c:pt>
                <c:pt idx="70">
                  <c:v>201.32</c:v>
                </c:pt>
                <c:pt idx="71">
                  <c:v>201</c:v>
                </c:pt>
                <c:pt idx="72">
                  <c:v>201</c:v>
                </c:pt>
                <c:pt idx="73">
                  <c:v>204.78</c:v>
                </c:pt>
                <c:pt idx="74">
                  <c:v>211.41</c:v>
                </c:pt>
                <c:pt idx="75">
                  <c:v>218.04</c:v>
                </c:pt>
                <c:pt idx="76">
                  <c:v>217.91</c:v>
                </c:pt>
                <c:pt idx="77">
                  <c:v>215.88</c:v>
                </c:pt>
                <c:pt idx="78">
                  <c:v>213.48</c:v>
                </c:pt>
                <c:pt idx="79">
                  <c:v>210.29</c:v>
                </c:pt>
                <c:pt idx="80">
                  <c:v>207.11</c:v>
                </c:pt>
                <c:pt idx="81">
                  <c:v>204.63</c:v>
                </c:pt>
                <c:pt idx="82">
                  <c:v>202.32</c:v>
                </c:pt>
                <c:pt idx="83">
                  <c:v>199.56</c:v>
                </c:pt>
                <c:pt idx="84">
                  <c:v>196.2</c:v>
                </c:pt>
                <c:pt idx="85">
                  <c:v>192.84</c:v>
                </c:pt>
                <c:pt idx="86">
                  <c:v>192.36</c:v>
                </c:pt>
                <c:pt idx="87">
                  <c:v>192.83</c:v>
                </c:pt>
                <c:pt idx="88">
                  <c:v>195.81</c:v>
                </c:pt>
                <c:pt idx="89">
                  <c:v>200.14</c:v>
                </c:pt>
                <c:pt idx="90">
                  <c:v>204.46</c:v>
                </c:pt>
                <c:pt idx="91">
                  <c:v>212.63</c:v>
                </c:pt>
                <c:pt idx="92">
                  <c:v>222</c:v>
                </c:pt>
                <c:pt idx="93">
                  <c:v>229.73</c:v>
                </c:pt>
                <c:pt idx="94">
                  <c:v>235.93</c:v>
                </c:pt>
                <c:pt idx="95">
                  <c:v>242.13</c:v>
                </c:pt>
                <c:pt idx="96">
                  <c:v>239.98</c:v>
                </c:pt>
                <c:pt idx="97">
                  <c:v>236.47</c:v>
                </c:pt>
                <c:pt idx="98">
                  <c:v>233.93</c:v>
                </c:pt>
                <c:pt idx="99">
                  <c:v>232.1</c:v>
                </c:pt>
                <c:pt idx="100">
                  <c:v>229.95</c:v>
                </c:pt>
                <c:pt idx="101">
                  <c:v>225.77</c:v>
                </c:pt>
                <c:pt idx="102">
                  <c:v>221.59</c:v>
                </c:pt>
                <c:pt idx="103">
                  <c:v>219.8</c:v>
                </c:pt>
                <c:pt idx="104">
                  <c:v>220.39</c:v>
                </c:pt>
                <c:pt idx="105">
                  <c:v>220.98</c:v>
                </c:pt>
                <c:pt idx="106">
                  <c:v>221.57</c:v>
                </c:pt>
                <c:pt idx="107">
                  <c:v>222.16</c:v>
                </c:pt>
                <c:pt idx="108">
                  <c:v>224.42</c:v>
                </c:pt>
                <c:pt idx="109">
                  <c:v>228.88</c:v>
                </c:pt>
                <c:pt idx="110">
                  <c:v>233.33</c:v>
                </c:pt>
                <c:pt idx="111">
                  <c:v>228.31</c:v>
                </c:pt>
                <c:pt idx="112">
                  <c:v>221.61</c:v>
                </c:pt>
                <c:pt idx="113">
                  <c:v>216.76</c:v>
                </c:pt>
                <c:pt idx="114">
                  <c:v>213.26</c:v>
                </c:pt>
                <c:pt idx="115">
                  <c:v>210.35</c:v>
                </c:pt>
                <c:pt idx="116">
                  <c:v>215.3</c:v>
                </c:pt>
                <c:pt idx="117">
                  <c:v>220.26</c:v>
                </c:pt>
                <c:pt idx="118">
                  <c:v>222.77</c:v>
                </c:pt>
                <c:pt idx="119">
                  <c:v>224.47</c:v>
                </c:pt>
                <c:pt idx="120">
                  <c:v>226.31</c:v>
                </c:pt>
                <c:pt idx="121">
                  <c:v>229.41</c:v>
                </c:pt>
                <c:pt idx="122">
                  <c:v>232.51</c:v>
                </c:pt>
                <c:pt idx="123">
                  <c:v>232.59</c:v>
                </c:pt>
                <c:pt idx="124">
                  <c:v>229.88</c:v>
                </c:pt>
                <c:pt idx="125">
                  <c:v>227.18</c:v>
                </c:pt>
                <c:pt idx="126">
                  <c:v>229.6</c:v>
                </c:pt>
                <c:pt idx="127">
                  <c:v>233.73</c:v>
                </c:pt>
                <c:pt idx="128">
                  <c:v>234.1</c:v>
                </c:pt>
                <c:pt idx="129">
                  <c:v>229.87</c:v>
                </c:pt>
                <c:pt idx="130">
                  <c:v>225.63</c:v>
                </c:pt>
                <c:pt idx="131">
                  <c:v>226.38</c:v>
                </c:pt>
                <c:pt idx="132">
                  <c:v>228.01</c:v>
                </c:pt>
                <c:pt idx="133">
                  <c:v>230.58</c:v>
                </c:pt>
                <c:pt idx="134">
                  <c:v>234.62</c:v>
                </c:pt>
                <c:pt idx="135">
                  <c:v>238.44</c:v>
                </c:pt>
                <c:pt idx="136">
                  <c:v>236.94</c:v>
                </c:pt>
                <c:pt idx="137">
                  <c:v>235.44</c:v>
                </c:pt>
                <c:pt idx="138">
                  <c:v>236.2</c:v>
                </c:pt>
                <c:pt idx="139">
                  <c:v>240.79</c:v>
                </c:pt>
                <c:pt idx="140">
                  <c:v>242.88</c:v>
                </c:pt>
                <c:pt idx="141">
                  <c:v>239.16</c:v>
                </c:pt>
                <c:pt idx="142">
                  <c:v>235.43</c:v>
                </c:pt>
                <c:pt idx="143">
                  <c:v>234.87</c:v>
                </c:pt>
                <c:pt idx="144">
                  <c:v>237.72</c:v>
                </c:pt>
                <c:pt idx="145">
                  <c:v>242.53</c:v>
                </c:pt>
                <c:pt idx="146">
                  <c:v>255.16</c:v>
                </c:pt>
                <c:pt idx="147">
                  <c:v>267.79000000000002</c:v>
                </c:pt>
                <c:pt idx="148">
                  <c:v>275.36</c:v>
                </c:pt>
                <c:pt idx="149">
                  <c:v>273.52</c:v>
                </c:pt>
                <c:pt idx="150">
                  <c:v>271.68</c:v>
                </c:pt>
                <c:pt idx="151">
                  <c:v>274.51</c:v>
                </c:pt>
                <c:pt idx="152">
                  <c:v>277.86</c:v>
                </c:pt>
                <c:pt idx="153">
                  <c:v>278.75</c:v>
                </c:pt>
                <c:pt idx="154">
                  <c:v>275.27999999999997</c:v>
                </c:pt>
                <c:pt idx="155">
                  <c:v>271.81</c:v>
                </c:pt>
                <c:pt idx="156">
                  <c:v>269.32</c:v>
                </c:pt>
                <c:pt idx="157">
                  <c:v>266.93</c:v>
                </c:pt>
                <c:pt idx="158">
                  <c:v>265.95999999999998</c:v>
                </c:pt>
                <c:pt idx="159">
                  <c:v>268.01</c:v>
                </c:pt>
                <c:pt idx="160">
                  <c:v>270.06</c:v>
                </c:pt>
                <c:pt idx="161">
                  <c:v>272.11</c:v>
                </c:pt>
                <c:pt idx="162">
                  <c:v>274.16000000000003</c:v>
                </c:pt>
                <c:pt idx="163">
                  <c:v>273.23</c:v>
                </c:pt>
                <c:pt idx="164">
                  <c:v>270.22000000000003</c:v>
                </c:pt>
                <c:pt idx="165">
                  <c:v>267.22000000000003</c:v>
                </c:pt>
                <c:pt idx="166">
                  <c:v>269.27</c:v>
                </c:pt>
                <c:pt idx="167">
                  <c:v>272.92</c:v>
                </c:pt>
                <c:pt idx="168">
                  <c:v>273.44</c:v>
                </c:pt>
                <c:pt idx="169">
                  <c:v>269.81</c:v>
                </c:pt>
                <c:pt idx="170">
                  <c:v>266.18</c:v>
                </c:pt>
                <c:pt idx="171">
                  <c:v>277.41000000000003</c:v>
                </c:pt>
                <c:pt idx="172">
                  <c:v>289.42</c:v>
                </c:pt>
                <c:pt idx="173">
                  <c:v>291.70999999999998</c:v>
                </c:pt>
                <c:pt idx="174">
                  <c:v>280.02</c:v>
                </c:pt>
                <c:pt idx="175">
                  <c:v>268.33999999999997</c:v>
                </c:pt>
                <c:pt idx="176">
                  <c:v>260</c:v>
                </c:pt>
                <c:pt idx="177">
                  <c:v>252.5</c:v>
                </c:pt>
                <c:pt idx="178">
                  <c:v>245</c:v>
                </c:pt>
                <c:pt idx="179">
                  <c:v>237.51</c:v>
                </c:pt>
                <c:pt idx="180">
                  <c:v>230.31</c:v>
                </c:pt>
                <c:pt idx="181">
                  <c:v>225.05</c:v>
                </c:pt>
                <c:pt idx="182">
                  <c:v>219.79</c:v>
                </c:pt>
                <c:pt idx="183">
                  <c:v>211.62</c:v>
                </c:pt>
                <c:pt idx="184">
                  <c:v>200.16</c:v>
                </c:pt>
                <c:pt idx="185">
                  <c:v>191.69</c:v>
                </c:pt>
                <c:pt idx="186">
                  <c:v>195.12</c:v>
                </c:pt>
                <c:pt idx="187">
                  <c:v>198.55</c:v>
                </c:pt>
                <c:pt idx="188">
                  <c:v>198.89</c:v>
                </c:pt>
                <c:pt idx="189">
                  <c:v>195.15</c:v>
                </c:pt>
                <c:pt idx="190">
                  <c:v>191.41</c:v>
                </c:pt>
                <c:pt idx="191">
                  <c:v>192.8</c:v>
                </c:pt>
              </c:numCache>
            </c:numRef>
          </c:xVal>
          <c:yVal>
            <c:numRef>
              <c:f>'Task 3'!$D$2:$D$193</c:f>
              <c:numCache>
                <c:formatCode>General</c:formatCode>
                <c:ptCount val="192"/>
                <c:pt idx="0">
                  <c:v>-55.45333333333334</c:v>
                </c:pt>
                <c:pt idx="1">
                  <c:v>-55.813333333333333</c:v>
                </c:pt>
                <c:pt idx="2">
                  <c:v>-54.62833333333333</c:v>
                </c:pt>
                <c:pt idx="3">
                  <c:v>-55.56</c:v>
                </c:pt>
                <c:pt idx="4">
                  <c:v>-55.71</c:v>
                </c:pt>
                <c:pt idx="5">
                  <c:v>-52.808333333333337</c:v>
                </c:pt>
                <c:pt idx="6">
                  <c:v>-55.298333333333339</c:v>
                </c:pt>
                <c:pt idx="7">
                  <c:v>-55.323333333333331</c:v>
                </c:pt>
                <c:pt idx="8">
                  <c:v>-54.783333333333331</c:v>
                </c:pt>
                <c:pt idx="9">
                  <c:v>-54.553333333333335</c:v>
                </c:pt>
                <c:pt idx="10">
                  <c:v>-55.396666666666668</c:v>
                </c:pt>
                <c:pt idx="11">
                  <c:v>-54.773333333333333</c:v>
                </c:pt>
                <c:pt idx="12">
                  <c:v>-56.041666666666664</c:v>
                </c:pt>
                <c:pt idx="13">
                  <c:v>-57.851666666666667</c:v>
                </c:pt>
                <c:pt idx="14">
                  <c:v>-58.879999999999995</c:v>
                </c:pt>
                <c:pt idx="15">
                  <c:v>-58.593333333333334</c:v>
                </c:pt>
                <c:pt idx="16">
                  <c:v>-57.37166666666667</c:v>
                </c:pt>
                <c:pt idx="17">
                  <c:v>-59.156666666666666</c:v>
                </c:pt>
                <c:pt idx="18">
                  <c:v>-60.646666666666668</c:v>
                </c:pt>
                <c:pt idx="19">
                  <c:v>-61.636666666666663</c:v>
                </c:pt>
                <c:pt idx="20">
                  <c:v>-62.831666666666671</c:v>
                </c:pt>
                <c:pt idx="21">
                  <c:v>-63.761666666666663</c:v>
                </c:pt>
                <c:pt idx="22">
                  <c:v>-64.656666666666666</c:v>
                </c:pt>
                <c:pt idx="23">
                  <c:v>-63.66</c:v>
                </c:pt>
                <c:pt idx="24">
                  <c:v>-64.931666666666658</c:v>
                </c:pt>
                <c:pt idx="25">
                  <c:v>-64.41</c:v>
                </c:pt>
                <c:pt idx="26">
                  <c:v>-64.36666666666666</c:v>
                </c:pt>
                <c:pt idx="27">
                  <c:v>-65.271666666666661</c:v>
                </c:pt>
                <c:pt idx="28">
                  <c:v>-64.62</c:v>
                </c:pt>
                <c:pt idx="29">
                  <c:v>-64.765000000000001</c:v>
                </c:pt>
                <c:pt idx="30">
                  <c:v>-63.414999999999999</c:v>
                </c:pt>
                <c:pt idx="31">
                  <c:v>-63.9</c:v>
                </c:pt>
                <c:pt idx="32">
                  <c:v>-64.135000000000005</c:v>
                </c:pt>
                <c:pt idx="33">
                  <c:v>-64.989999999999995</c:v>
                </c:pt>
                <c:pt idx="34">
                  <c:v>-63.754999999999995</c:v>
                </c:pt>
                <c:pt idx="35">
                  <c:v>-62.948333333333331</c:v>
                </c:pt>
                <c:pt idx="36">
                  <c:v>-64.556666666666658</c:v>
                </c:pt>
                <c:pt idx="37">
                  <c:v>-63.586666666666666</c:v>
                </c:pt>
                <c:pt idx="38">
                  <c:v>-64.239999999999995</c:v>
                </c:pt>
                <c:pt idx="39">
                  <c:v>-63.018333333333338</c:v>
                </c:pt>
                <c:pt idx="40">
                  <c:v>-63.691666666666663</c:v>
                </c:pt>
                <c:pt idx="41">
                  <c:v>-62.754999999999995</c:v>
                </c:pt>
                <c:pt idx="42">
                  <c:v>-61.185000000000002</c:v>
                </c:pt>
                <c:pt idx="43">
                  <c:v>-61.601666666666667</c:v>
                </c:pt>
                <c:pt idx="44">
                  <c:v>-63.264999999999993</c:v>
                </c:pt>
                <c:pt idx="45">
                  <c:v>-62.851666666666667</c:v>
                </c:pt>
                <c:pt idx="46">
                  <c:v>-62.401666666666671</c:v>
                </c:pt>
                <c:pt idx="47">
                  <c:v>-62.761666666666663</c:v>
                </c:pt>
                <c:pt idx="48">
                  <c:v>-62.133333333333333</c:v>
                </c:pt>
                <c:pt idx="49">
                  <c:v>-62.343333333333334</c:v>
                </c:pt>
                <c:pt idx="50">
                  <c:v>-62.311666666666667</c:v>
                </c:pt>
                <c:pt idx="51">
                  <c:v>-60.76</c:v>
                </c:pt>
                <c:pt idx="52">
                  <c:v>-61.745000000000005</c:v>
                </c:pt>
                <c:pt idx="53">
                  <c:v>-61.448333333333331</c:v>
                </c:pt>
                <c:pt idx="54">
                  <c:v>-62.96</c:v>
                </c:pt>
                <c:pt idx="55">
                  <c:v>-62.705000000000005</c:v>
                </c:pt>
                <c:pt idx="56">
                  <c:v>-63.04666666666666</c:v>
                </c:pt>
                <c:pt idx="57">
                  <c:v>-62.741666666666667</c:v>
                </c:pt>
                <c:pt idx="58">
                  <c:v>-62.493333333333332</c:v>
                </c:pt>
                <c:pt idx="59">
                  <c:v>-61.955000000000005</c:v>
                </c:pt>
                <c:pt idx="60">
                  <c:v>-61.783333333333331</c:v>
                </c:pt>
                <c:pt idx="61">
                  <c:v>-61.501666666666665</c:v>
                </c:pt>
                <c:pt idx="62">
                  <c:v>-61.876666666666665</c:v>
                </c:pt>
                <c:pt idx="63">
                  <c:v>-61.4</c:v>
                </c:pt>
                <c:pt idx="64">
                  <c:v>-62.043333333333329</c:v>
                </c:pt>
                <c:pt idx="65">
                  <c:v>-61.31</c:v>
                </c:pt>
                <c:pt idx="66">
                  <c:v>-62.763333333333328</c:v>
                </c:pt>
                <c:pt idx="67">
                  <c:v>-62.305</c:v>
                </c:pt>
                <c:pt idx="68">
                  <c:v>-60.961666666666666</c:v>
                </c:pt>
                <c:pt idx="69">
                  <c:v>-60.186666666666667</c:v>
                </c:pt>
                <c:pt idx="70">
                  <c:v>-59.526666666666671</c:v>
                </c:pt>
                <c:pt idx="71">
                  <c:v>-60.72</c:v>
                </c:pt>
                <c:pt idx="72">
                  <c:v>-61.49666666666667</c:v>
                </c:pt>
                <c:pt idx="73">
                  <c:v>-61.37833333333333</c:v>
                </c:pt>
                <c:pt idx="74">
                  <c:v>-62.32</c:v>
                </c:pt>
                <c:pt idx="75">
                  <c:v>-62.981666666666662</c:v>
                </c:pt>
                <c:pt idx="76">
                  <c:v>-63.588333333333331</c:v>
                </c:pt>
                <c:pt idx="77">
                  <c:v>-62.32833333333334</c:v>
                </c:pt>
                <c:pt idx="78">
                  <c:v>-63.856666666666662</c:v>
                </c:pt>
                <c:pt idx="79">
                  <c:v>-64.101666666666674</c:v>
                </c:pt>
                <c:pt idx="80">
                  <c:v>-64.421666666666667</c:v>
                </c:pt>
                <c:pt idx="81">
                  <c:v>-63.455000000000005</c:v>
                </c:pt>
                <c:pt idx="82">
                  <c:v>-63.751666666666665</c:v>
                </c:pt>
                <c:pt idx="83">
                  <c:v>-62.104999999999997</c:v>
                </c:pt>
                <c:pt idx="84">
                  <c:v>-62.830000000000005</c:v>
                </c:pt>
                <c:pt idx="85">
                  <c:v>-62.733333333333327</c:v>
                </c:pt>
                <c:pt idx="86">
                  <c:v>-61.826666666666661</c:v>
                </c:pt>
                <c:pt idx="87">
                  <c:v>-62.771666666666668</c:v>
                </c:pt>
                <c:pt idx="88">
                  <c:v>-63.108333333333327</c:v>
                </c:pt>
                <c:pt idx="89">
                  <c:v>-62.96</c:v>
                </c:pt>
                <c:pt idx="90">
                  <c:v>-61.705000000000005</c:v>
                </c:pt>
                <c:pt idx="91">
                  <c:v>-60.358333333333327</c:v>
                </c:pt>
                <c:pt idx="92">
                  <c:v>-61.568333333333335</c:v>
                </c:pt>
                <c:pt idx="93">
                  <c:v>-63.236666666666672</c:v>
                </c:pt>
                <c:pt idx="94">
                  <c:v>-61.723333333333329</c:v>
                </c:pt>
                <c:pt idx="95">
                  <c:v>-62.46</c:v>
                </c:pt>
                <c:pt idx="96">
                  <c:v>-61.536666666666669</c:v>
                </c:pt>
                <c:pt idx="97">
                  <c:v>-60.063333333333333</c:v>
                </c:pt>
                <c:pt idx="98">
                  <c:v>-59.783333333333331</c:v>
                </c:pt>
                <c:pt idx="99">
                  <c:v>-59.123333333333335</c:v>
                </c:pt>
                <c:pt idx="100">
                  <c:v>-59.976666666666667</c:v>
                </c:pt>
                <c:pt idx="101">
                  <c:v>-59.195</c:v>
                </c:pt>
                <c:pt idx="102">
                  <c:v>-59.98</c:v>
                </c:pt>
                <c:pt idx="103">
                  <c:v>-59.241666666666667</c:v>
                </c:pt>
                <c:pt idx="104">
                  <c:v>-58.139999999999993</c:v>
                </c:pt>
                <c:pt idx="105">
                  <c:v>-59.055</c:v>
                </c:pt>
                <c:pt idx="106">
                  <c:v>-59.768333333333338</c:v>
                </c:pt>
                <c:pt idx="107">
                  <c:v>-60.233333333333327</c:v>
                </c:pt>
                <c:pt idx="108">
                  <c:v>-60.298333333333339</c:v>
                </c:pt>
                <c:pt idx="109">
                  <c:v>-59.858333333333327</c:v>
                </c:pt>
                <c:pt idx="110">
                  <c:v>-61.16</c:v>
                </c:pt>
                <c:pt idx="111">
                  <c:v>-62.12166666666667</c:v>
                </c:pt>
                <c:pt idx="112">
                  <c:v>-61.824999999999996</c:v>
                </c:pt>
                <c:pt idx="113">
                  <c:v>-60.54666666666666</c:v>
                </c:pt>
                <c:pt idx="114">
                  <c:v>-61.398333333333333</c:v>
                </c:pt>
                <c:pt idx="115">
                  <c:v>-60.695</c:v>
                </c:pt>
                <c:pt idx="116">
                  <c:v>-59.62833333333333</c:v>
                </c:pt>
                <c:pt idx="117">
                  <c:v>-60.733333333333327</c:v>
                </c:pt>
                <c:pt idx="118">
                  <c:v>-60.473333333333329</c:v>
                </c:pt>
                <c:pt idx="119">
                  <c:v>-59.928333333333335</c:v>
                </c:pt>
                <c:pt idx="120">
                  <c:v>-60.245000000000005</c:v>
                </c:pt>
                <c:pt idx="121">
                  <c:v>-60.833333333333336</c:v>
                </c:pt>
                <c:pt idx="122">
                  <c:v>-60.57</c:v>
                </c:pt>
                <c:pt idx="123">
                  <c:v>-59.615000000000002</c:v>
                </c:pt>
                <c:pt idx="124">
                  <c:v>-59.805</c:v>
                </c:pt>
                <c:pt idx="125">
                  <c:v>-59.74666666666667</c:v>
                </c:pt>
                <c:pt idx="126">
                  <c:v>-59.361666666666672</c:v>
                </c:pt>
                <c:pt idx="127">
                  <c:v>-58.781666666666666</c:v>
                </c:pt>
                <c:pt idx="128">
                  <c:v>-58.373333333333335</c:v>
                </c:pt>
                <c:pt idx="129">
                  <c:v>-58.981666666666662</c:v>
                </c:pt>
                <c:pt idx="130">
                  <c:v>-60.183333333333337</c:v>
                </c:pt>
                <c:pt idx="131">
                  <c:v>-59.908333333333331</c:v>
                </c:pt>
                <c:pt idx="132">
                  <c:v>-60.405000000000001</c:v>
                </c:pt>
                <c:pt idx="133">
                  <c:v>-59.988333333333337</c:v>
                </c:pt>
                <c:pt idx="134">
                  <c:v>-60.29</c:v>
                </c:pt>
                <c:pt idx="135">
                  <c:v>-60.351666666666667</c:v>
                </c:pt>
                <c:pt idx="136">
                  <c:v>-62.861666666666672</c:v>
                </c:pt>
                <c:pt idx="137">
                  <c:v>-62.42166666666666</c:v>
                </c:pt>
                <c:pt idx="138">
                  <c:v>-62.104999999999997</c:v>
                </c:pt>
                <c:pt idx="139">
                  <c:v>-61.566666666666663</c:v>
                </c:pt>
                <c:pt idx="140">
                  <c:v>-61.963333333333331</c:v>
                </c:pt>
                <c:pt idx="141">
                  <c:v>-62.298333333333339</c:v>
                </c:pt>
                <c:pt idx="142">
                  <c:v>-62.106666666666662</c:v>
                </c:pt>
                <c:pt idx="143">
                  <c:v>-61.156666666666666</c:v>
                </c:pt>
                <c:pt idx="144">
                  <c:v>-60.216666666666669</c:v>
                </c:pt>
                <c:pt idx="145">
                  <c:v>-60.178333333333335</c:v>
                </c:pt>
                <c:pt idx="146">
                  <c:v>-58.893333333333338</c:v>
                </c:pt>
                <c:pt idx="147">
                  <c:v>-58.548333333333339</c:v>
                </c:pt>
                <c:pt idx="148">
                  <c:v>-57.435000000000002</c:v>
                </c:pt>
                <c:pt idx="149">
                  <c:v>-57.50333333333333</c:v>
                </c:pt>
                <c:pt idx="150">
                  <c:v>-56.983333333333327</c:v>
                </c:pt>
                <c:pt idx="151">
                  <c:v>-56.801666666666669</c:v>
                </c:pt>
                <c:pt idx="152">
                  <c:v>-56.85</c:v>
                </c:pt>
                <c:pt idx="153">
                  <c:v>-56.695</c:v>
                </c:pt>
                <c:pt idx="154">
                  <c:v>-55.818333333333335</c:v>
                </c:pt>
                <c:pt idx="155">
                  <c:v>-55.971666666666664</c:v>
                </c:pt>
                <c:pt idx="156">
                  <c:v>-54.933333333333337</c:v>
                </c:pt>
                <c:pt idx="157">
                  <c:v>-55.261666666666663</c:v>
                </c:pt>
                <c:pt idx="158">
                  <c:v>-56.048333333333339</c:v>
                </c:pt>
                <c:pt idx="159">
                  <c:v>-55.388333333333328</c:v>
                </c:pt>
                <c:pt idx="160">
                  <c:v>-54.618333333333332</c:v>
                </c:pt>
                <c:pt idx="161">
                  <c:v>-54.925000000000004</c:v>
                </c:pt>
                <c:pt idx="162">
                  <c:v>-54.678333333333335</c:v>
                </c:pt>
                <c:pt idx="163">
                  <c:v>-55.011666666666663</c:v>
                </c:pt>
                <c:pt idx="164">
                  <c:v>-54.721666666666664</c:v>
                </c:pt>
                <c:pt idx="165">
                  <c:v>-53.843333333333334</c:v>
                </c:pt>
                <c:pt idx="166">
                  <c:v>-53.09</c:v>
                </c:pt>
                <c:pt idx="167">
                  <c:v>-53.358333333333327</c:v>
                </c:pt>
                <c:pt idx="168">
                  <c:v>-52.330000000000005</c:v>
                </c:pt>
                <c:pt idx="169">
                  <c:v>-53.585000000000001</c:v>
                </c:pt>
                <c:pt idx="170">
                  <c:v>-55.648333333333333</c:v>
                </c:pt>
                <c:pt idx="171">
                  <c:v>-53.906666666666666</c:v>
                </c:pt>
                <c:pt idx="172">
                  <c:v>-55.034999999999997</c:v>
                </c:pt>
                <c:pt idx="173">
                  <c:v>-55.943333333333335</c:v>
                </c:pt>
                <c:pt idx="174">
                  <c:v>-57.925000000000004</c:v>
                </c:pt>
                <c:pt idx="175">
                  <c:v>-58.29</c:v>
                </c:pt>
                <c:pt idx="176">
                  <c:v>-59.506666666666668</c:v>
                </c:pt>
                <c:pt idx="177">
                  <c:v>-61.113333333333337</c:v>
                </c:pt>
                <c:pt idx="178">
                  <c:v>-62.844999999999999</c:v>
                </c:pt>
                <c:pt idx="179">
                  <c:v>-63.306666666666665</c:v>
                </c:pt>
                <c:pt idx="180">
                  <c:v>-63.055</c:v>
                </c:pt>
                <c:pt idx="181">
                  <c:v>-64.95</c:v>
                </c:pt>
                <c:pt idx="182">
                  <c:v>-64.898333333333326</c:v>
                </c:pt>
                <c:pt idx="183">
                  <c:v>-63.914999999999999</c:v>
                </c:pt>
                <c:pt idx="184">
                  <c:v>-64.166666666666671</c:v>
                </c:pt>
                <c:pt idx="185">
                  <c:v>-63.918333333333329</c:v>
                </c:pt>
                <c:pt idx="186">
                  <c:v>-64.788333333333341</c:v>
                </c:pt>
                <c:pt idx="187">
                  <c:v>-63.966666666666669</c:v>
                </c:pt>
                <c:pt idx="188">
                  <c:v>-64.678333333333327</c:v>
                </c:pt>
                <c:pt idx="189">
                  <c:v>-64.179999999999993</c:v>
                </c:pt>
                <c:pt idx="190">
                  <c:v>-64.923333333333332</c:v>
                </c:pt>
                <c:pt idx="191">
                  <c:v>-64.208333333333329</c:v>
                </c:pt>
              </c:numCache>
            </c:numRef>
          </c:yVal>
          <c:smooth val="0"/>
          <c:extLst>
            <c:ext xmlns:c16="http://schemas.microsoft.com/office/drawing/2014/chart" uri="{C3380CC4-5D6E-409C-BE32-E72D297353CC}">
              <c16:uniqueId val="{00000000-6BA6-4E87-A350-2CE07E5C44CC}"/>
            </c:ext>
          </c:extLst>
        </c:ser>
        <c:dLbls>
          <c:showLegendKey val="0"/>
          <c:showVal val="0"/>
          <c:showCatName val="0"/>
          <c:showSerName val="0"/>
          <c:showPercent val="0"/>
          <c:showBubbleSize val="0"/>
        </c:dLbls>
        <c:axId val="1504345008"/>
        <c:axId val="1504346928"/>
      </c:scatterChart>
      <c:valAx>
        <c:axId val="1504345008"/>
        <c:scaling>
          <c:orientation val="minMax"/>
          <c:min val="1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346928"/>
        <c:crosses val="autoZero"/>
        <c:crossBetween val="midCat"/>
      </c:valAx>
      <c:valAx>
        <c:axId val="1504346928"/>
        <c:scaling>
          <c:orientation val="minMax"/>
          <c:max val="-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3450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28575</xdr:rowOff>
    </xdr:from>
    <xdr:to>
      <xdr:col>1</xdr:col>
      <xdr:colOff>4657725</xdr:colOff>
      <xdr:row>34</xdr:row>
      <xdr:rowOff>152400</xdr:rowOff>
    </xdr:to>
    <xdr:sp macro="" textlink="">
      <xdr:nvSpPr>
        <xdr:cNvPr id="2" name="Text Box 5">
          <a:extLst>
            <a:ext uri="{FF2B5EF4-FFF2-40B4-BE49-F238E27FC236}">
              <a16:creationId xmlns:a16="http://schemas.microsoft.com/office/drawing/2014/main" id="{F45B7A8F-9E20-404B-8C7F-EAA203641B75}"/>
            </a:ext>
          </a:extLst>
        </xdr:cNvPr>
        <xdr:cNvSpPr txBox="1">
          <a:spLocks noChangeArrowheads="1"/>
        </xdr:cNvSpPr>
      </xdr:nvSpPr>
      <xdr:spPr bwMode="auto">
        <a:xfrm>
          <a:off x="0" y="1552575"/>
          <a:ext cx="5505450" cy="4314825"/>
        </a:xfrm>
        <a:prstGeom prst="rect">
          <a:avLst/>
        </a:prstGeom>
        <a:solidFill>
          <a:srgbClr xmlns:mc="http://schemas.openxmlformats.org/markup-compatibility/2006" xmlns:a14="http://schemas.microsoft.com/office/drawing/2010/main" val="FFCC00" mc:Ignorable="a14" a14:legacySpreadsheetColorIndex="5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lnSpc>
              <a:spcPts val="1200"/>
            </a:lnSpc>
            <a:defRPr sz="1000"/>
          </a:pPr>
          <a:r>
            <a:rPr lang="en-US" sz="1200" b="1" i="0" u="none" strike="noStrike" baseline="0">
              <a:solidFill>
                <a:srgbClr val="000000"/>
              </a:solidFill>
              <a:latin typeface="Arial"/>
              <a:cs typeface="Arial"/>
            </a:rPr>
            <a:t>Analysis of Vostok Ice Core</a:t>
          </a:r>
        </a:p>
        <a:p>
          <a:pPr algn="l" rtl="0">
            <a:lnSpc>
              <a:spcPts val="1200"/>
            </a:lnSpc>
            <a:defRPr sz="1000"/>
          </a:pPr>
          <a:r>
            <a:rPr lang="en-US" sz="1200" b="0" i="0" u="none" strike="noStrike" baseline="0">
              <a:solidFill>
                <a:srgbClr val="000000"/>
              </a:solidFill>
              <a:latin typeface="Arial"/>
              <a:cs typeface="Arial"/>
            </a:rPr>
            <a:t>(adapted from http://eesc.columbia.edu/courses/ees/climate/labs/vostok/)</a:t>
          </a:r>
        </a:p>
        <a:p>
          <a:pPr algn="l" rtl="0">
            <a:lnSpc>
              <a:spcPts val="1200"/>
            </a:lnSpc>
            <a:defRPr sz="1000"/>
          </a:pPr>
          <a:endParaRPr lang="en-US" sz="1200" b="0" i="0" u="none" strike="noStrike" baseline="0">
            <a:solidFill>
              <a:srgbClr val="000000"/>
            </a:solidFill>
            <a:latin typeface="Arial"/>
            <a:cs typeface="Arial"/>
          </a:endParaRPr>
        </a:p>
        <a:p>
          <a:pPr algn="l" rtl="0">
            <a:lnSpc>
              <a:spcPts val="1200"/>
            </a:lnSpc>
            <a:defRPr sz="1000"/>
          </a:pPr>
          <a:r>
            <a:rPr lang="en-US" sz="1200" b="0" i="0" u="none" strike="noStrike" baseline="0">
              <a:solidFill>
                <a:srgbClr val="000000"/>
              </a:solidFill>
              <a:latin typeface="Arial"/>
              <a:cs typeface="Arial"/>
            </a:rPr>
            <a:t>This goal of this exercise is to analyze 160,000 year of paleoclimatic data obtained from the 2km deep Vostok Ice Core drilled in East  Antarctica. The data includes ice age, ice depth, carbon dioxide, methane, dust, and deuterium isotope relative abundance (dD).</a:t>
          </a:r>
        </a:p>
        <a:p>
          <a:pPr algn="l" rtl="0">
            <a:lnSpc>
              <a:spcPts val="1200"/>
            </a:lnSpc>
            <a:defRPr sz="1000"/>
          </a:pPr>
          <a:endParaRPr lang="en-US" sz="1200" b="0" i="0" u="none" strike="noStrike" baseline="0">
            <a:solidFill>
              <a:srgbClr val="000000"/>
            </a:solidFill>
            <a:latin typeface="Arial"/>
            <a:cs typeface="Arial"/>
          </a:endParaRPr>
        </a:p>
        <a:p>
          <a:pPr algn="l" rtl="0">
            <a:lnSpc>
              <a:spcPts val="1200"/>
            </a:lnSpc>
            <a:defRPr sz="1000"/>
          </a:pPr>
          <a:r>
            <a:rPr lang="en-US" sz="1200" b="0" i="0" u="none" strike="noStrike" baseline="0">
              <a:solidFill>
                <a:srgbClr val="000000"/>
              </a:solidFill>
              <a:latin typeface="Arial"/>
              <a:cs typeface="Arial"/>
            </a:rPr>
            <a:t>Tasks:</a:t>
          </a:r>
        </a:p>
        <a:p>
          <a:pPr algn="l" rtl="0">
            <a:lnSpc>
              <a:spcPts val="1200"/>
            </a:lnSpc>
            <a:defRPr sz="1000"/>
          </a:pPr>
          <a:r>
            <a:rPr lang="en-US" sz="1200" b="0" i="1" u="none" strike="noStrike" baseline="0">
              <a:solidFill>
                <a:srgbClr val="000000"/>
              </a:solidFill>
              <a:latin typeface="Arial"/>
              <a:cs typeface="Arial"/>
            </a:rPr>
            <a:t>1. Analyze the ice core temperature record</a:t>
          </a:r>
        </a:p>
        <a:p>
          <a:pPr algn="l" rtl="0">
            <a:lnSpc>
              <a:spcPts val="1300"/>
            </a:lnSpc>
            <a:defRPr sz="1000"/>
          </a:pPr>
          <a:r>
            <a:rPr lang="en-US" sz="1200" b="0" i="1" u="none" strike="noStrike" baseline="0">
              <a:solidFill>
                <a:srgbClr val="000000"/>
              </a:solidFill>
              <a:latin typeface="Arial"/>
              <a:cs typeface="Arial"/>
            </a:rPr>
            <a:t>2. Analyze the ice core gas concentration record</a:t>
          </a:r>
        </a:p>
        <a:p>
          <a:pPr algn="l" rtl="0">
            <a:lnSpc>
              <a:spcPts val="1200"/>
            </a:lnSpc>
            <a:defRPr sz="1000"/>
          </a:pPr>
          <a:r>
            <a:rPr lang="en-US" sz="1200" b="0" i="1" u="none" strike="noStrike" baseline="0">
              <a:solidFill>
                <a:srgbClr val="000000"/>
              </a:solidFill>
              <a:latin typeface="Arial"/>
              <a:cs typeface="Arial"/>
            </a:rPr>
            <a:t>3. Analyze the relationship between temperature and gas concentrations</a:t>
          </a:r>
        </a:p>
        <a:p>
          <a:pPr algn="l" rtl="0">
            <a:lnSpc>
              <a:spcPts val="1300"/>
            </a:lnSpc>
            <a:defRPr sz="1000"/>
          </a:pPr>
          <a:endParaRPr lang="en-US" sz="1200" b="0" i="0" u="none" strike="noStrike" baseline="0">
            <a:solidFill>
              <a:srgbClr val="000000"/>
            </a:solidFill>
            <a:latin typeface="Arial"/>
            <a:cs typeface="Arial"/>
          </a:endParaRPr>
        </a:p>
        <a:p>
          <a:pPr algn="l" rtl="0">
            <a:lnSpc>
              <a:spcPts val="1200"/>
            </a:lnSpc>
            <a:defRPr sz="1000"/>
          </a:pPr>
          <a:r>
            <a:rPr lang="en-US" sz="1200" b="0" i="0" u="none" strike="noStrike" baseline="0">
              <a:solidFill>
                <a:srgbClr val="000000"/>
              </a:solidFill>
              <a:latin typeface="Arial"/>
              <a:cs typeface="Arial"/>
            </a:rPr>
            <a:t>The following Sheets are present in this exercise:</a:t>
          </a:r>
        </a:p>
        <a:p>
          <a:pPr algn="l" rtl="0">
            <a:lnSpc>
              <a:spcPts val="1300"/>
            </a:lnSpc>
            <a:defRPr sz="1000"/>
          </a:pPr>
          <a:r>
            <a:rPr lang="en-US" sz="1200" b="0" i="1" u="none" strike="noStrike" baseline="0">
              <a:solidFill>
                <a:srgbClr val="000000"/>
              </a:solidFill>
              <a:latin typeface="Arial"/>
              <a:cs typeface="Arial"/>
            </a:rPr>
            <a:t>1. [Title]: Introductory sheet</a:t>
          </a:r>
        </a:p>
        <a:p>
          <a:pPr algn="l" rtl="0">
            <a:lnSpc>
              <a:spcPts val="1200"/>
            </a:lnSpc>
            <a:defRPr sz="1000"/>
          </a:pPr>
          <a:r>
            <a:rPr lang="en-US" sz="1200" b="0" i="1" u="none" strike="noStrike" baseline="0">
              <a:solidFill>
                <a:srgbClr val="000000"/>
              </a:solidFill>
              <a:latin typeface="Arial"/>
              <a:cs typeface="Arial"/>
            </a:rPr>
            <a:t>2. [Task1]: Description of Task 1</a:t>
          </a:r>
        </a:p>
        <a:p>
          <a:pPr algn="l" rtl="0">
            <a:lnSpc>
              <a:spcPts val="1300"/>
            </a:lnSpc>
            <a:defRPr sz="1000"/>
          </a:pPr>
          <a:r>
            <a:rPr lang="en-US" sz="1200" b="0" i="1" u="none" strike="noStrike" baseline="0">
              <a:solidFill>
                <a:srgbClr val="000000"/>
              </a:solidFill>
              <a:latin typeface="Arial"/>
              <a:cs typeface="Arial"/>
            </a:rPr>
            <a:t>3. [Task2]: Description of Task 2</a:t>
          </a:r>
        </a:p>
        <a:p>
          <a:pPr algn="l" rtl="0">
            <a:lnSpc>
              <a:spcPts val="1200"/>
            </a:lnSpc>
            <a:defRPr sz="1000"/>
          </a:pPr>
          <a:r>
            <a:rPr lang="en-US" sz="1200" b="0" i="1" u="none" strike="noStrike" baseline="0">
              <a:solidFill>
                <a:srgbClr val="000000"/>
              </a:solidFill>
              <a:latin typeface="Arial"/>
              <a:cs typeface="Arial"/>
            </a:rPr>
            <a:t>4. [Task3] Description of Task 3</a:t>
          </a:r>
        </a:p>
        <a:p>
          <a:pPr algn="l" rtl="0">
            <a:lnSpc>
              <a:spcPts val="1300"/>
            </a:lnSpc>
            <a:defRPr sz="1000"/>
          </a:pPr>
          <a:r>
            <a:rPr lang="en-US" sz="1200" b="0" i="1" u="none" strike="noStrike" baseline="0">
              <a:solidFill>
                <a:srgbClr val="000000"/>
              </a:solidFill>
              <a:latin typeface="Arial"/>
              <a:cs typeface="Arial"/>
            </a:rPr>
            <a:t>5. [IceCoreData]: Vostok Ice Core data</a:t>
          </a:r>
        </a:p>
        <a:p>
          <a:pPr algn="l" rtl="0">
            <a:lnSpc>
              <a:spcPts val="1200"/>
            </a:lnSpc>
            <a:defRPr sz="1000"/>
          </a:pPr>
          <a:r>
            <a:rPr lang="en-US" sz="1200" b="0" i="1" u="none" strike="noStrike" baseline="0">
              <a:solidFill>
                <a:srgbClr val="000000"/>
              </a:solidFill>
              <a:latin typeface="Arial"/>
              <a:cs typeface="Arial"/>
            </a:rPr>
            <a:t>6. [Work]: Blank sheet to hold working data (You may create more sheets as needed)</a:t>
          </a:r>
          <a:endParaRPr lang="en-US" sz="1200" b="0" i="0" u="none" strike="noStrike" baseline="0">
            <a:solidFill>
              <a:srgbClr val="000000"/>
            </a:solidFill>
            <a:latin typeface="Arial"/>
            <a:cs typeface="Arial"/>
          </a:endParaRPr>
        </a:p>
        <a:p>
          <a:pPr algn="l" rtl="0">
            <a:lnSpc>
              <a:spcPts val="1300"/>
            </a:lnSpc>
            <a:defRPr sz="1000"/>
          </a:pPr>
          <a:endParaRPr lang="en-US" sz="1200" b="0" i="0" u="none" strike="noStrike" baseline="0">
            <a:solidFill>
              <a:srgbClr val="000000"/>
            </a:solidFill>
            <a:latin typeface="Arial"/>
            <a:cs typeface="Arial"/>
          </a:endParaRPr>
        </a:p>
        <a:p>
          <a:pPr algn="l" rtl="0">
            <a:lnSpc>
              <a:spcPts val="1200"/>
            </a:lnSpc>
            <a:defRPr sz="1000"/>
          </a:pPr>
          <a:endParaRPr lang="en-US" sz="1200" b="0" i="1" u="none" strike="noStrike" baseline="0">
            <a:solidFill>
              <a:srgbClr val="000000"/>
            </a:solidFill>
            <a:latin typeface="Arial"/>
            <a:cs typeface="Arial"/>
          </a:endParaRPr>
        </a:p>
        <a:p>
          <a:pPr algn="l" rtl="0">
            <a:lnSpc>
              <a:spcPts val="1300"/>
            </a:lnSpc>
            <a:defRPr sz="1000"/>
          </a:pPr>
          <a:endParaRPr lang="en-US" sz="1200" b="0" i="0" u="none" strike="noStrike" baseline="0">
            <a:solidFill>
              <a:srgbClr val="000000"/>
            </a:solidFill>
            <a:latin typeface="Arial"/>
            <a:cs typeface="Arial"/>
          </a:endParaRPr>
        </a:p>
        <a:p>
          <a:pPr algn="l" rtl="0">
            <a:lnSpc>
              <a:spcPts val="1200"/>
            </a:lnSpc>
            <a:defRPr sz="1000"/>
          </a:pPr>
          <a:endParaRPr lang="en-US" sz="12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1</xdr:row>
      <xdr:rowOff>133350</xdr:rowOff>
    </xdr:from>
    <xdr:to>
      <xdr:col>5</xdr:col>
      <xdr:colOff>742950</xdr:colOff>
      <xdr:row>57</xdr:row>
      <xdr:rowOff>38100</xdr:rowOff>
    </xdr:to>
    <xdr:sp macro="" textlink="">
      <xdr:nvSpPr>
        <xdr:cNvPr id="2" name="Text Box 1">
          <a:extLst>
            <a:ext uri="{FF2B5EF4-FFF2-40B4-BE49-F238E27FC236}">
              <a16:creationId xmlns:a16="http://schemas.microsoft.com/office/drawing/2014/main" id="{88404768-102D-4AAD-8C75-D22081F1B3DB}"/>
            </a:ext>
          </a:extLst>
        </xdr:cNvPr>
        <xdr:cNvSpPr txBox="1">
          <a:spLocks noChangeArrowheads="1"/>
        </xdr:cNvSpPr>
      </xdr:nvSpPr>
      <xdr:spPr bwMode="auto">
        <a:xfrm>
          <a:off x="19050" y="457200"/>
          <a:ext cx="4867275" cy="10572750"/>
        </a:xfrm>
        <a:prstGeom prst="rect">
          <a:avLst/>
        </a:prstGeom>
        <a:solidFill>
          <a:srgbClr xmlns:mc="http://schemas.openxmlformats.org/markup-compatibility/2006" xmlns:a14="http://schemas.microsoft.com/office/drawing/2010/main" val="FFCC00" mc:Ignorable="a14" a14:legacySpreadsheetColorIndex="5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Task 1: Ice Core Temperatures</a:t>
          </a:r>
        </a:p>
        <a:p>
          <a:pPr algn="l" rtl="0">
            <a:defRPr sz="1000"/>
          </a:pPr>
          <a:r>
            <a:rPr lang="en-US" sz="1200" b="0" i="0" u="none" strike="noStrike" baseline="0">
              <a:solidFill>
                <a:srgbClr val="000000"/>
              </a:solidFill>
              <a:latin typeface="Arial"/>
              <a:cs typeface="Arial"/>
            </a:rPr>
            <a:t>The worksheet [IceCoreData] contains data from the 2km deep Vostok Ice Core from Antarctica, extending in time back to 160,000 years. In addition to ice, the core has air bubbles trapped in it. The age of gas trapped in ice is less than the age of ice itself, because gases are only trapped when the snow compacts to form layers of ice over the years. The data from the ice core include:</a:t>
          </a:r>
        </a:p>
        <a:p>
          <a:pPr algn="l" rtl="0">
            <a:defRPr sz="1000"/>
          </a:pPr>
          <a:r>
            <a:rPr lang="en-US" sz="1200" b="0" i="1" u="none" strike="noStrike" baseline="0">
              <a:solidFill>
                <a:srgbClr val="000000"/>
              </a:solidFill>
              <a:latin typeface="Arial"/>
              <a:cs typeface="Arial"/>
            </a:rPr>
            <a:t>depth, age_of_ice, delta_Deuterium, dust concentration, age_of_gas, CO2 and CH4 concentrations. (Note: ka = kiloannum, i.e., 1000 years)</a:t>
          </a:r>
          <a:endParaRPr lang="en-US" sz="1200" b="0" i="0" u="none" strike="noStrike" baseline="0">
            <a:solidFill>
              <a:srgbClr val="000000"/>
            </a:solidFill>
            <a:latin typeface="Arial"/>
            <a:cs typeface="Arial"/>
          </a:endParaRPr>
        </a:p>
        <a:p>
          <a:pPr algn="l" rtl="0">
            <a:defRPr sz="1000"/>
          </a:pPr>
          <a:r>
            <a:rPr lang="en-US" sz="1200" b="0" i="0" u="none" strike="noStrike" baseline="0">
              <a:solidFill>
                <a:srgbClr val="000000"/>
              </a:solidFill>
              <a:latin typeface="Arial"/>
              <a:cs typeface="Arial"/>
            </a:rPr>
            <a:t>Delta_Deuterium is an isotopic ratio measuring the fraction of ice molecules that have heavier Deuterium instead of regular hydrogen. In cold climates, the atmosphere holds less moisture and therefore has less of the heavy water, which is less volatile. Therefore, a higher Deuterium fraction indicates warmer climates.</a:t>
          </a:r>
        </a:p>
        <a:p>
          <a:pPr algn="l" rtl="0">
            <a:defRPr sz="1000"/>
          </a:pPr>
          <a:endParaRPr lang="en-US" sz="1200" b="0"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Step 1.1: </a:t>
          </a:r>
          <a:r>
            <a:rPr lang="en-US" sz="1200" b="0" i="0" u="none" strike="noStrike" baseline="0">
              <a:solidFill>
                <a:srgbClr val="000000"/>
              </a:solidFill>
              <a:latin typeface="Arial"/>
              <a:cs typeface="Arial"/>
            </a:rPr>
            <a:t>Obtain the present-day annual-mean, minimum and maximum temperature climatology of Vostok, Antarctica from https://www.climatestotravel.com/climate/antarctica/vostok </a:t>
          </a:r>
          <a:r>
            <a:rPr lang="en-US" sz="2000" b="1" i="0" u="none" strike="noStrike" baseline="0">
              <a:solidFill>
                <a:srgbClr val="FF0000"/>
              </a:solidFill>
              <a:latin typeface="Arial"/>
              <a:cs typeface="Arial"/>
            </a:rPr>
            <a:t>5</a:t>
          </a:r>
        </a:p>
        <a:p>
          <a:pPr algn="l" rtl="0">
            <a:defRPr sz="1000"/>
          </a:pPr>
          <a:endParaRPr lang="en-US" sz="1200" b="0" i="0" u="none" strike="noStrike" baseline="0">
            <a:solidFill>
              <a:srgbClr val="000000"/>
            </a:solidFill>
            <a:latin typeface="Arial"/>
            <a:cs typeface="Arial"/>
          </a:endParaRPr>
        </a:p>
        <a:p>
          <a:pPr algn="l" rtl="0">
            <a:defRPr sz="1000"/>
          </a:pPr>
          <a:r>
            <a:rPr lang="en-US" sz="1200" b="0" i="0" u="none" strike="noStrike" baseline="0">
              <a:solidFill>
                <a:srgbClr val="000000"/>
              </a:solidFill>
              <a:latin typeface="Arial"/>
              <a:cs typeface="Arial"/>
            </a:rPr>
            <a:t>Min: -58.5</a:t>
          </a:r>
        </a:p>
        <a:p>
          <a:pPr algn="l" rtl="0">
            <a:defRPr sz="1000"/>
          </a:pPr>
          <a:r>
            <a:rPr lang="en-US" sz="1200" b="0" i="0" u="none" strike="noStrike" baseline="0">
              <a:solidFill>
                <a:srgbClr val="000000"/>
              </a:solidFill>
              <a:latin typeface="Arial"/>
              <a:cs typeface="Arial"/>
            </a:rPr>
            <a:t>Max: -50.7</a:t>
          </a:r>
        </a:p>
        <a:p>
          <a:pPr algn="l" rtl="0">
            <a:defRPr sz="1000"/>
          </a:pPr>
          <a:r>
            <a:rPr lang="en-US" sz="1200" b="0" i="0" u="none" strike="noStrike" baseline="0">
              <a:solidFill>
                <a:srgbClr val="000000"/>
              </a:solidFill>
              <a:latin typeface="Arial"/>
              <a:cs typeface="Arial"/>
            </a:rPr>
            <a:t>Mean: -54.45</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Step 1.2</a:t>
          </a:r>
          <a:r>
            <a:rPr lang="en-US" sz="1200" b="0" i="0" u="none" strike="noStrike" baseline="0">
              <a:solidFill>
                <a:srgbClr val="000000"/>
              </a:solidFill>
              <a:latin typeface="Arial"/>
              <a:cs typeface="Arial"/>
            </a:rPr>
            <a:t>: Estimate the Vostok ice core temperature (in degrees C) T from the </a:t>
          </a:r>
          <a:r>
            <a:rPr lang="en-US" sz="1200" b="0" i="1" u="none" strike="noStrike" baseline="0">
              <a:solidFill>
                <a:srgbClr val="000000"/>
              </a:solidFill>
              <a:latin typeface="Arial"/>
              <a:cs typeface="Arial"/>
            </a:rPr>
            <a:t>delta_Deuterium</a:t>
          </a:r>
          <a:r>
            <a:rPr lang="en-US" sz="1200" b="0" i="0" u="none" strike="noStrike" baseline="0">
              <a:solidFill>
                <a:srgbClr val="000000"/>
              </a:solidFill>
              <a:latin typeface="Arial"/>
              <a:cs typeface="Arial"/>
            </a:rPr>
            <a:t> values, using the following formula: </a:t>
          </a:r>
          <a:r>
            <a:rPr lang="en-US" sz="2000" b="1" i="0" u="none" strike="noStrike" baseline="0">
              <a:solidFill>
                <a:srgbClr val="FF0000"/>
              </a:solidFill>
              <a:latin typeface="Arial"/>
              <a:cs typeface="Arial"/>
            </a:rPr>
            <a:t>5</a:t>
          </a:r>
        </a:p>
        <a:p>
          <a:pPr algn="l" rtl="0">
            <a:defRPr sz="1000"/>
          </a:pPr>
          <a:r>
            <a:rPr lang="en-US" sz="1200" b="1" i="0" u="none" strike="noStrike" baseline="0">
              <a:solidFill>
                <a:srgbClr val="000000"/>
              </a:solidFill>
              <a:latin typeface="Arial"/>
              <a:cs typeface="Arial"/>
            </a:rPr>
            <a:t>T = -55.5 + (delta_D + 440) / 6</a:t>
          </a: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Step 1.3:</a:t>
          </a:r>
          <a:r>
            <a:rPr lang="en-US" sz="1200" b="0" i="0" u="none" strike="noStrike" baseline="0">
              <a:solidFill>
                <a:srgbClr val="000000"/>
              </a:solidFill>
              <a:latin typeface="Arial"/>
              <a:cs typeface="Arial"/>
            </a:rPr>
            <a:t> Plot T as a function of age_of_ice. What are the coldest and warmest temperatures observed? Compare it to the present day temperature climatology at Vostok. </a:t>
          </a:r>
          <a:r>
            <a:rPr lang="en-US" sz="2000" b="1" i="0" u="none" strike="noStrike" baseline="0">
              <a:solidFill>
                <a:srgbClr val="FF0000"/>
              </a:solidFill>
              <a:latin typeface="Arial"/>
              <a:cs typeface="Arial"/>
            </a:rPr>
            <a:t>15</a:t>
          </a:r>
        </a:p>
        <a:p>
          <a:pPr algn="l" rtl="0">
            <a:defRPr sz="1000"/>
          </a:pPr>
          <a:r>
            <a:rPr lang="en-US" sz="1200" b="1" i="0" u="none" strike="noStrike" baseline="0">
              <a:solidFill>
                <a:srgbClr val="000000"/>
              </a:solidFill>
              <a:latin typeface="Arial"/>
              <a:cs typeface="Arial"/>
            </a:rPr>
            <a:t>COMMENTS:</a:t>
          </a:r>
        </a:p>
        <a:p>
          <a:pPr algn="l" rtl="0">
            <a:defRPr sz="1000"/>
          </a:pPr>
          <a:r>
            <a:rPr lang="en-US" sz="1200" b="1" i="0" u="none" strike="noStrike" baseline="0">
              <a:solidFill>
                <a:srgbClr val="000000"/>
              </a:solidFill>
              <a:latin typeface="Arial"/>
              <a:cs typeface="Arial"/>
            </a:rPr>
            <a:t>Plot T: Lowest is -65.27 and the warmest temperature is -52.33.</a:t>
          </a:r>
        </a:p>
        <a:p>
          <a:pPr algn="l" rtl="0">
            <a:defRPr sz="1000"/>
          </a:pPr>
          <a:r>
            <a:rPr lang="en-US" sz="1200" b="1" i="0" u="none" strike="noStrike" baseline="0">
              <a:solidFill>
                <a:srgbClr val="000000"/>
              </a:solidFill>
              <a:latin typeface="Arial"/>
              <a:cs typeface="Arial"/>
            </a:rPr>
            <a:t>Compared to the present day,  the age_of_ice's warmest temperature is -1.63 cooler than the present day temperature. Also, the minimum temperature is -6.77 cooler than present's minimum.</a:t>
          </a:r>
        </a:p>
        <a:p>
          <a:pPr algn="l" rtl="0">
            <a:defRPr sz="1000"/>
          </a:pPr>
          <a:endParaRPr lang="en-US" sz="1200" b="1"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Step 1.4:</a:t>
          </a:r>
          <a:r>
            <a:rPr lang="en-US" sz="1200" b="0" i="0" u="none" strike="noStrike" baseline="0">
              <a:solidFill>
                <a:srgbClr val="000000"/>
              </a:solidFill>
              <a:latin typeface="Arial"/>
              <a:cs typeface="Arial"/>
            </a:rPr>
            <a:t> </a:t>
          </a:r>
          <a:r>
            <a:rPr lang="en-US" sz="1200" b="0" i="1" u="none" strike="noStrike" baseline="0">
              <a:solidFill>
                <a:srgbClr val="000000"/>
              </a:solidFill>
              <a:latin typeface="Arial"/>
              <a:cs typeface="Arial"/>
            </a:rPr>
            <a:t>Ice Ages</a:t>
          </a:r>
          <a:r>
            <a:rPr lang="en-US" sz="1200" b="0" i="0" u="none" strike="noStrike" baseline="0">
              <a:solidFill>
                <a:srgbClr val="000000"/>
              </a:solidFill>
              <a:latin typeface="Arial"/>
              <a:cs typeface="Arial"/>
            </a:rPr>
            <a:t> are periods in Earth's history where large continental land masses were covered with ice sheets and the global-mean temperatures were significantly colder than the present day. </a:t>
          </a:r>
          <a:r>
            <a:rPr lang="en-US" sz="2000" b="1" i="0" u="none" strike="noStrike" baseline="0">
              <a:solidFill>
                <a:srgbClr val="FF0000"/>
              </a:solidFill>
              <a:latin typeface="Arial"/>
              <a:cs typeface="Arial"/>
            </a:rPr>
            <a:t>15</a:t>
          </a:r>
        </a:p>
        <a:p>
          <a:pPr algn="l" rtl="0">
            <a:defRPr sz="1000"/>
          </a:pPr>
          <a:r>
            <a:rPr lang="en-US" sz="1200" b="0" i="0" u="none" strike="noStrike" baseline="0">
              <a:solidFill>
                <a:srgbClr val="000000"/>
              </a:solidFill>
              <a:latin typeface="Arial"/>
              <a:cs typeface="Arial"/>
            </a:rPr>
            <a:t>Use a definition of ice age appropriate for Vostok, such as extended periods colder than -57 degrees C, determine the beginning and the end of ice ages in the ice core data. Estimate the rate of temperature change (in degrees C per ka) at the beginning and end of ice ages (average the temperatures before the ice age and after the end of an ice age). Which occurs faster, the beginning or the end of an ice age? Speculate on why one is faster than the other.</a:t>
          </a:r>
        </a:p>
        <a:p>
          <a:pPr algn="l" rtl="0">
            <a:defRPr sz="1000"/>
          </a:pPr>
          <a:r>
            <a:rPr lang="en-US" sz="1200" b="1" i="0" u="none" strike="noStrike" baseline="0">
              <a:solidFill>
                <a:srgbClr val="000000"/>
              </a:solidFill>
              <a:latin typeface="Arial"/>
              <a:cs typeface="Arial"/>
            </a:rPr>
            <a:t>COMMENTS:</a:t>
          </a: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r>
            <a:rPr lang="en-US" sz="1200" b="0" i="0" u="none" strike="noStrike" baseline="0">
              <a:solidFill>
                <a:srgbClr val="000000"/>
              </a:solidFill>
              <a:latin typeface="Arial"/>
              <a:cs typeface="Arial"/>
            </a:rPr>
            <a:t>The end of the ice age increases faster than the beginning due to it having a higher magnitude. Volanic eruptions.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10</xdr:col>
      <xdr:colOff>2772</xdr:colOff>
      <xdr:row>18</xdr:row>
      <xdr:rowOff>24031</xdr:rowOff>
    </xdr:from>
    <xdr:to>
      <xdr:col>14</xdr:col>
      <xdr:colOff>1196572</xdr:colOff>
      <xdr:row>36</xdr:row>
      <xdr:rowOff>119843</xdr:rowOff>
    </xdr:to>
    <xdr:graphicFrame macro="">
      <xdr:nvGraphicFramePr>
        <xdr:cNvPr id="3" name="Chart 2">
          <a:extLst>
            <a:ext uri="{FF2B5EF4-FFF2-40B4-BE49-F238E27FC236}">
              <a16:creationId xmlns:a16="http://schemas.microsoft.com/office/drawing/2014/main" id="{CF11833B-E325-4232-633B-8B5E4AA85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0.04344</cdr:x>
      <cdr:y>0.40714</cdr:y>
    </cdr:from>
    <cdr:to>
      <cdr:x>0.88803</cdr:x>
      <cdr:y>0.40949</cdr:y>
    </cdr:to>
    <cdr:cxnSp macro="">
      <cdr:nvCxnSpPr>
        <cdr:cNvPr id="3" name="Straight Connector 2">
          <a:extLst xmlns:a="http://schemas.openxmlformats.org/drawingml/2006/main">
            <a:ext uri="{FF2B5EF4-FFF2-40B4-BE49-F238E27FC236}">
              <a16:creationId xmlns:a16="http://schemas.microsoft.com/office/drawing/2014/main" id="{C41E2BEA-3AF1-4B71-8044-361CA3F721E4}"/>
            </a:ext>
          </a:extLst>
        </cdr:cNvPr>
        <cdr:cNvCxnSpPr/>
      </cdr:nvCxnSpPr>
      <cdr:spPr>
        <a:xfrm xmlns:a="http://schemas.openxmlformats.org/drawingml/2006/main" flipH="1">
          <a:off x="234295" y="1466102"/>
          <a:ext cx="4555067" cy="8467"/>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4</xdr:row>
      <xdr:rowOff>9525</xdr:rowOff>
    </xdr:from>
    <xdr:to>
      <xdr:col>1</xdr:col>
      <xdr:colOff>3781425</xdr:colOff>
      <xdr:row>43</xdr:row>
      <xdr:rowOff>95250</xdr:rowOff>
    </xdr:to>
    <xdr:sp macro="" textlink="">
      <xdr:nvSpPr>
        <xdr:cNvPr id="2" name="Text Box 1">
          <a:extLst>
            <a:ext uri="{FF2B5EF4-FFF2-40B4-BE49-F238E27FC236}">
              <a16:creationId xmlns:a16="http://schemas.microsoft.com/office/drawing/2014/main" id="{8F5A1299-5D55-4FBD-8222-8466449A0111}"/>
            </a:ext>
          </a:extLst>
        </xdr:cNvPr>
        <xdr:cNvSpPr txBox="1">
          <a:spLocks noChangeArrowheads="1"/>
        </xdr:cNvSpPr>
      </xdr:nvSpPr>
      <xdr:spPr bwMode="auto">
        <a:xfrm>
          <a:off x="0" y="657225"/>
          <a:ext cx="4848225" cy="6400800"/>
        </a:xfrm>
        <a:prstGeom prst="rect">
          <a:avLst/>
        </a:prstGeom>
        <a:solidFill>
          <a:srgbClr xmlns:mc="http://schemas.openxmlformats.org/markup-compatibility/2006" xmlns:a14="http://schemas.microsoft.com/office/drawing/2010/main" val="FFCC00" mc:Ignorable="a14" a14:legacySpreadsheetColorIndex="5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Step 2.1</a:t>
          </a:r>
          <a:r>
            <a:rPr lang="en-US" sz="1200" b="0" i="0" u="none" strike="noStrike" baseline="0">
              <a:solidFill>
                <a:srgbClr val="000000"/>
              </a:solidFill>
              <a:latin typeface="Arial"/>
              <a:cs typeface="Arial"/>
            </a:rPr>
            <a:t>: Plot the </a:t>
          </a:r>
          <a:r>
            <a:rPr lang="en-US" sz="1200" b="0" i="1" u="none" strike="noStrike" baseline="0">
              <a:solidFill>
                <a:srgbClr val="000000"/>
              </a:solidFill>
              <a:latin typeface="Arial"/>
              <a:cs typeface="Arial"/>
            </a:rPr>
            <a:t>age_of_ice</a:t>
          </a:r>
          <a:r>
            <a:rPr lang="en-US" sz="1200" b="0" i="0" u="none" strike="noStrike" baseline="0">
              <a:solidFill>
                <a:srgbClr val="000000"/>
              </a:solidFill>
              <a:latin typeface="Arial"/>
              <a:cs typeface="Arial"/>
            </a:rPr>
            <a:t> and </a:t>
          </a:r>
          <a:r>
            <a:rPr lang="en-US" sz="1200" b="0" i="1" u="none" strike="noStrike" baseline="0">
              <a:solidFill>
                <a:srgbClr val="000000"/>
              </a:solidFill>
              <a:latin typeface="Arial"/>
              <a:cs typeface="Arial"/>
            </a:rPr>
            <a:t>age_of_gas</a:t>
          </a:r>
          <a:r>
            <a:rPr lang="en-US" sz="1200" b="0" i="0" u="none" strike="noStrike" baseline="0">
              <a:solidFill>
                <a:srgbClr val="000000"/>
              </a:solidFill>
              <a:latin typeface="Arial"/>
              <a:cs typeface="Arial"/>
            </a:rPr>
            <a:t> as a function of depth. Also compute the difference between the two ages (</a:t>
          </a:r>
          <a:r>
            <a:rPr lang="en-US" sz="1200" b="0" i="1" u="none" strike="noStrike" baseline="0">
              <a:solidFill>
                <a:srgbClr val="000000"/>
              </a:solidFill>
              <a:latin typeface="Arial"/>
              <a:cs typeface="Arial"/>
            </a:rPr>
            <a:t>age_of_ice - age_of_gas)</a:t>
          </a:r>
          <a:r>
            <a:rPr lang="en-US" sz="1200" b="0" i="0" u="none" strike="noStrike" baseline="0">
              <a:solidFill>
                <a:srgbClr val="000000"/>
              </a:solidFill>
              <a:latin typeface="Arial"/>
              <a:cs typeface="Arial"/>
            </a:rPr>
            <a:t> in a new column and plot it as a function of depth. Comment on the difference between the two age measurements.</a:t>
          </a:r>
        </a:p>
        <a:p>
          <a:pPr algn="l" rtl="0">
            <a:defRPr sz="1000"/>
          </a:pPr>
          <a:r>
            <a:rPr lang="en-US" sz="2000" b="1" i="0" u="none" strike="noStrike" baseline="0">
              <a:solidFill>
                <a:srgbClr val="FF0000"/>
              </a:solidFill>
              <a:latin typeface="Arial"/>
              <a:cs typeface="Arial"/>
            </a:rPr>
            <a:t>10</a:t>
          </a:r>
        </a:p>
        <a:p>
          <a:pPr algn="l" rtl="0">
            <a:defRPr sz="1000"/>
          </a:pPr>
          <a:r>
            <a:rPr lang="en-US" sz="1200" b="1" i="0" u="none" strike="noStrike" baseline="0">
              <a:solidFill>
                <a:srgbClr val="000000"/>
              </a:solidFill>
              <a:latin typeface="Arial"/>
              <a:cs typeface="Arial"/>
            </a:rPr>
            <a:t>COMMENTS:</a:t>
          </a:r>
        </a:p>
        <a:p>
          <a:pPr algn="l" rtl="0">
            <a:defRPr sz="1000"/>
          </a:pPr>
          <a:r>
            <a:rPr lang="en-US" sz="1200" b="1" i="0" u="none" strike="noStrike" baseline="0">
              <a:solidFill>
                <a:srgbClr val="000000"/>
              </a:solidFill>
              <a:latin typeface="Arial"/>
              <a:cs typeface="Arial"/>
            </a:rPr>
            <a:t>Age of ice is greater than the age of gas.</a:t>
          </a:r>
        </a:p>
        <a:p>
          <a:pPr algn="l" rtl="0">
            <a:defRPr sz="1000"/>
          </a:pPr>
          <a:r>
            <a:rPr lang="en-US" sz="1200" b="1" i="0" u="none" strike="noStrike" baseline="0">
              <a:solidFill>
                <a:srgbClr val="000000"/>
              </a:solidFill>
              <a:latin typeface="Arial"/>
              <a:cs typeface="Arial"/>
            </a:rPr>
            <a:t>The age of gas trapped in ice is less than the age of ice itself, because gases are only trapped when the snow compacts to form layers of ice over the years. </a:t>
          </a:r>
        </a:p>
        <a:p>
          <a:pPr algn="l" rtl="0">
            <a:defRPr sz="1000"/>
          </a:pPr>
          <a:endParaRPr lang="en-US" sz="1200" b="1"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Step 2.2</a:t>
          </a:r>
          <a:r>
            <a:rPr lang="en-US" sz="1200" b="0" i="0" u="none" strike="noStrike" baseline="0">
              <a:solidFill>
                <a:srgbClr val="000000"/>
              </a:solidFill>
              <a:latin typeface="Arial"/>
              <a:cs typeface="Arial"/>
            </a:rPr>
            <a:t>: Plot the CO2 concentration as a function of  </a:t>
          </a:r>
          <a:r>
            <a:rPr lang="en-US" sz="1200" b="0" i="1" u="none" strike="noStrike" baseline="0">
              <a:solidFill>
                <a:srgbClr val="000000"/>
              </a:solidFill>
              <a:latin typeface="Arial"/>
              <a:cs typeface="Arial"/>
            </a:rPr>
            <a:t>age_of_gas</a:t>
          </a:r>
          <a:r>
            <a:rPr lang="en-US" sz="1200" b="0" i="0" u="none" strike="noStrike" baseline="0">
              <a:solidFill>
                <a:srgbClr val="000000"/>
              </a:solidFill>
              <a:latin typeface="Arial"/>
              <a:cs typeface="Arial"/>
            </a:rPr>
            <a:t>. What are the lowest and highest concentrations observed in the past? How does it compare to the present day concentration of about 420ppm?</a:t>
          </a:r>
        </a:p>
        <a:p>
          <a:pPr algn="l" rtl="0">
            <a:defRPr sz="1000"/>
          </a:pPr>
          <a:r>
            <a:rPr lang="en-US" sz="2000" b="1" i="0" u="none" strike="noStrike" baseline="0">
              <a:solidFill>
                <a:srgbClr val="FF0000"/>
              </a:solidFill>
              <a:latin typeface="Arial"/>
              <a:cs typeface="Arial"/>
            </a:rPr>
            <a:t>10</a:t>
          </a:r>
        </a:p>
        <a:p>
          <a:pPr algn="l" rtl="0">
            <a:defRPr sz="1000"/>
          </a:pPr>
          <a:r>
            <a:rPr lang="en-US" sz="1200" b="1" i="0" u="none" strike="noStrike" baseline="0">
              <a:solidFill>
                <a:srgbClr val="000000"/>
              </a:solidFill>
              <a:latin typeface="Arial"/>
              <a:cs typeface="Arial"/>
            </a:rPr>
            <a:t>COMMENTS:</a:t>
          </a:r>
          <a:endParaRPr lang="en-US" sz="1200" b="0" i="0" u="none" strike="noStrike" baseline="0">
            <a:solidFill>
              <a:srgbClr val="000000"/>
            </a:solidFill>
            <a:latin typeface="Arial"/>
            <a:cs typeface="Arial"/>
          </a:endParaRPr>
        </a:p>
        <a:p>
          <a:pPr algn="l" rtl="0">
            <a:defRPr sz="1000"/>
          </a:pPr>
          <a:r>
            <a:rPr lang="en-US" sz="1200" b="0" i="0" u="none" strike="noStrike" baseline="0">
              <a:solidFill>
                <a:srgbClr val="000000"/>
              </a:solidFill>
              <a:latin typeface="Arial"/>
              <a:cs typeface="Arial"/>
            </a:rPr>
            <a:t>(Compare task1 beggning and ending ice age/ is it positive or negative)</a:t>
          </a:r>
        </a:p>
        <a:p>
          <a:pPr algn="l" rtl="0">
            <a:defRPr sz="1000"/>
          </a:pPr>
          <a:r>
            <a:rPr lang="en-US" sz="1200" b="0" i="0" u="none" strike="noStrike" baseline="0">
              <a:solidFill>
                <a:srgbClr val="000000"/>
              </a:solidFill>
              <a:latin typeface="Arial"/>
              <a:cs typeface="Arial"/>
            </a:rPr>
            <a:t>291.71 for highest, and 179.86 for lowest. Compared to present-day concentration of around 420 ppm, this shows an increase in CO2 levels over time.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Step 2.3</a:t>
          </a:r>
          <a:r>
            <a:rPr lang="en-US" sz="1200" b="0" i="0" u="none" strike="noStrike" baseline="0">
              <a:solidFill>
                <a:srgbClr val="000000"/>
              </a:solidFill>
              <a:latin typeface="Arial"/>
              <a:cs typeface="Arial"/>
            </a:rPr>
            <a:t>: When do the highest and lowest CO2 concentrations occur? Is there any relationship between CO2 concentrations and the occurrence of ice ages? Create a figure containing both the Temperature from task 1 and the CO2 concentrations. </a:t>
          </a:r>
        </a:p>
        <a:p>
          <a:pPr algn="l" rtl="0">
            <a:defRPr sz="1000"/>
          </a:pPr>
          <a:r>
            <a:rPr lang="en-US" sz="2000" b="1" i="0" u="none" strike="noStrike" baseline="0">
              <a:solidFill>
                <a:srgbClr val="FF0000"/>
              </a:solidFill>
              <a:latin typeface="Arial"/>
              <a:cs typeface="Arial"/>
            </a:rPr>
            <a:t>10</a:t>
          </a:r>
        </a:p>
        <a:p>
          <a:pPr algn="l" rtl="0">
            <a:defRPr sz="1000"/>
          </a:pPr>
          <a:r>
            <a:rPr lang="en-US" sz="1200" b="1" i="0" u="none" strike="noStrike" baseline="0">
              <a:solidFill>
                <a:srgbClr val="000000"/>
              </a:solidFill>
              <a:latin typeface="Arial"/>
              <a:cs typeface="Arial"/>
            </a:rPr>
            <a:t>COMMENTS:</a:t>
          </a:r>
        </a:p>
        <a:p>
          <a:pPr algn="l" rtl="0">
            <a:defRPr sz="1000"/>
          </a:pPr>
          <a:r>
            <a:rPr lang="en-US" sz="1200" b="1" i="0" u="none" strike="noStrike" baseline="0">
              <a:solidFill>
                <a:srgbClr val="000000"/>
              </a:solidFill>
              <a:latin typeface="Arial"/>
              <a:cs typeface="Arial"/>
            </a:rPr>
            <a:t>Highest CO2 concentration occurs during warmer interglacial periods. Lowest CO2 concentration occurs with glacial periods, when the global temperatures are lower.</a:t>
          </a: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10</xdr:col>
      <xdr:colOff>6350</xdr:colOff>
      <xdr:row>1</xdr:row>
      <xdr:rowOff>12700</xdr:rowOff>
    </xdr:from>
    <xdr:to>
      <xdr:col>15</xdr:col>
      <xdr:colOff>495300</xdr:colOff>
      <xdr:row>17</xdr:row>
      <xdr:rowOff>38100</xdr:rowOff>
    </xdr:to>
    <xdr:graphicFrame macro="">
      <xdr:nvGraphicFramePr>
        <xdr:cNvPr id="3" name="Chart 2">
          <a:extLst>
            <a:ext uri="{FF2B5EF4-FFF2-40B4-BE49-F238E27FC236}">
              <a16:creationId xmlns:a16="http://schemas.microsoft.com/office/drawing/2014/main" id="{EA0CAD4A-5B12-C0E0-33DD-432111221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6350</xdr:colOff>
      <xdr:row>17</xdr:row>
      <xdr:rowOff>76200</xdr:rowOff>
    </xdr:from>
    <xdr:to>
      <xdr:col>15</xdr:col>
      <xdr:colOff>482600</xdr:colOff>
      <xdr:row>36</xdr:row>
      <xdr:rowOff>50800</xdr:rowOff>
    </xdr:to>
    <xdr:graphicFrame macro="">
      <xdr:nvGraphicFramePr>
        <xdr:cNvPr id="5" name="Chart 4">
          <a:extLst>
            <a:ext uri="{FF2B5EF4-FFF2-40B4-BE49-F238E27FC236}">
              <a16:creationId xmlns:a16="http://schemas.microsoft.com/office/drawing/2014/main" id="{464AEA4D-76B8-CD98-04EA-D75136F183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687293</xdr:colOff>
      <xdr:row>1</xdr:row>
      <xdr:rowOff>115047</xdr:rowOff>
    </xdr:from>
    <xdr:to>
      <xdr:col>20</xdr:col>
      <xdr:colOff>478117</xdr:colOff>
      <xdr:row>15</xdr:row>
      <xdr:rowOff>138953</xdr:rowOff>
    </xdr:to>
    <xdr:graphicFrame macro="">
      <xdr:nvGraphicFramePr>
        <xdr:cNvPr id="6" name="Chart 5">
          <a:extLst>
            <a:ext uri="{FF2B5EF4-FFF2-40B4-BE49-F238E27FC236}">
              <a16:creationId xmlns:a16="http://schemas.microsoft.com/office/drawing/2014/main" id="{19BB34CD-16E9-A97A-93E6-273E41E15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42978</xdr:colOff>
      <xdr:row>17</xdr:row>
      <xdr:rowOff>167500</xdr:rowOff>
    </xdr:from>
    <xdr:to>
      <xdr:col>21</xdr:col>
      <xdr:colOff>383324</xdr:colOff>
      <xdr:row>35</xdr:row>
      <xdr:rowOff>127774</xdr:rowOff>
    </xdr:to>
    <xdr:graphicFrame macro="">
      <xdr:nvGraphicFramePr>
        <xdr:cNvPr id="4" name="Chart 3">
          <a:extLst>
            <a:ext uri="{FF2B5EF4-FFF2-40B4-BE49-F238E27FC236}">
              <a16:creationId xmlns:a16="http://schemas.microsoft.com/office/drawing/2014/main" id="{40CEFC78-67B1-B731-7380-D7976094B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4</xdr:row>
      <xdr:rowOff>152400</xdr:rowOff>
    </xdr:from>
    <xdr:to>
      <xdr:col>1</xdr:col>
      <xdr:colOff>3783330</xdr:colOff>
      <xdr:row>46</xdr:row>
      <xdr:rowOff>0</xdr:rowOff>
    </xdr:to>
    <xdr:sp macro="" textlink="">
      <xdr:nvSpPr>
        <xdr:cNvPr id="2" name="Text Box 1">
          <a:extLst>
            <a:ext uri="{FF2B5EF4-FFF2-40B4-BE49-F238E27FC236}">
              <a16:creationId xmlns:a16="http://schemas.microsoft.com/office/drawing/2014/main" id="{58421EB0-4BCF-4CE9-836D-22F5922A317D}"/>
            </a:ext>
          </a:extLst>
        </xdr:cNvPr>
        <xdr:cNvSpPr txBox="1">
          <a:spLocks noChangeArrowheads="1"/>
        </xdr:cNvSpPr>
      </xdr:nvSpPr>
      <xdr:spPr bwMode="auto">
        <a:xfrm>
          <a:off x="0" y="876300"/>
          <a:ext cx="4878705" cy="7448550"/>
        </a:xfrm>
        <a:prstGeom prst="rect">
          <a:avLst/>
        </a:prstGeom>
        <a:solidFill>
          <a:srgbClr xmlns:mc="http://schemas.openxmlformats.org/markup-compatibility/2006" xmlns:a14="http://schemas.microsoft.com/office/drawing/2010/main" val="FFCC00" mc:Ignorable="a14" a14:legacySpreadsheetColorIndex="5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Step 3.1</a:t>
          </a:r>
          <a:r>
            <a:rPr lang="en-US" sz="1200" b="0" i="0" u="none" strike="noStrike" baseline="0">
              <a:solidFill>
                <a:srgbClr val="000000"/>
              </a:solidFill>
              <a:latin typeface="Arial"/>
              <a:cs typeface="Arial"/>
            </a:rPr>
            <a:t>: Create an X-Y scatterplot (i.e., without connecting lines) of </a:t>
          </a:r>
          <a:r>
            <a:rPr lang="en-US" sz="1200" b="0" i="1" u="none" strike="noStrike" baseline="0">
              <a:solidFill>
                <a:srgbClr val="000000"/>
              </a:solidFill>
              <a:latin typeface="Arial"/>
              <a:cs typeface="Arial"/>
            </a:rPr>
            <a:t>T</a:t>
          </a:r>
          <a:r>
            <a:rPr lang="en-US" sz="1200" b="0" i="0" u="none" strike="noStrike" baseline="0">
              <a:solidFill>
                <a:srgbClr val="000000"/>
              </a:solidFill>
              <a:latin typeface="Arial"/>
              <a:cs typeface="Arial"/>
            </a:rPr>
            <a:t> and </a:t>
          </a:r>
          <a:r>
            <a:rPr lang="en-US" sz="1200" b="0" i="1" u="none" strike="noStrike" baseline="0">
              <a:solidFill>
                <a:srgbClr val="000000"/>
              </a:solidFill>
              <a:latin typeface="Arial"/>
              <a:cs typeface="Arial"/>
            </a:rPr>
            <a:t>CO2</a:t>
          </a:r>
          <a:r>
            <a:rPr lang="en-US" sz="1200" b="0" i="0" u="none" strike="noStrike" baseline="0">
              <a:solidFill>
                <a:srgbClr val="000000"/>
              </a:solidFill>
              <a:latin typeface="Arial"/>
              <a:cs typeface="Arial"/>
            </a:rPr>
            <a:t> concentration. Visually, what is the relationship between </a:t>
          </a:r>
          <a:r>
            <a:rPr lang="en-US" sz="1200" b="0" i="1" u="none" strike="noStrike" baseline="0">
              <a:solidFill>
                <a:srgbClr val="000000"/>
              </a:solidFill>
              <a:latin typeface="Arial"/>
              <a:cs typeface="Arial"/>
            </a:rPr>
            <a:t>T </a:t>
          </a:r>
          <a:r>
            <a:rPr lang="en-US" sz="1200" b="0" i="0" u="none" strike="noStrike" baseline="0">
              <a:solidFill>
                <a:srgbClr val="000000"/>
              </a:solidFill>
              <a:latin typeface="Arial"/>
              <a:cs typeface="Arial"/>
            </a:rPr>
            <a:t>and </a:t>
          </a:r>
          <a:r>
            <a:rPr lang="en-US" sz="1200" b="0" i="1" u="none" strike="noStrike" baseline="0">
              <a:solidFill>
                <a:srgbClr val="000000"/>
              </a:solidFill>
              <a:latin typeface="Arial"/>
              <a:cs typeface="Arial"/>
            </a:rPr>
            <a:t>CO2</a:t>
          </a:r>
          <a:r>
            <a:rPr lang="en-US" sz="1200" b="0" i="0" u="none" strike="noStrike" baseline="0">
              <a:solidFill>
                <a:srgbClr val="000000"/>
              </a:solidFill>
              <a:latin typeface="Arial"/>
              <a:cs typeface="Arial"/>
            </a:rPr>
            <a:t>?</a:t>
          </a:r>
        </a:p>
        <a:p>
          <a:pPr algn="l" rtl="0">
            <a:defRPr sz="1000"/>
          </a:pPr>
          <a:r>
            <a:rPr lang="en-US" sz="2000" b="1" i="0" u="none" strike="noStrike" baseline="0">
              <a:solidFill>
                <a:srgbClr val="FF0000"/>
              </a:solidFill>
              <a:latin typeface="Arial"/>
              <a:cs typeface="Arial"/>
            </a:rPr>
            <a:t>10</a:t>
          </a:r>
        </a:p>
        <a:p>
          <a:pPr algn="l" rtl="0">
            <a:defRPr sz="1000"/>
          </a:pPr>
          <a:r>
            <a:rPr lang="en-US" sz="1200" b="1" i="0" u="none" strike="noStrike" baseline="0">
              <a:solidFill>
                <a:srgbClr val="000000"/>
              </a:solidFill>
              <a:latin typeface="Arial"/>
              <a:cs typeface="Arial"/>
            </a:rPr>
            <a:t>COMMENTS:</a:t>
          </a:r>
          <a:br>
            <a:rPr lang="en-US" sz="1200" b="1" i="0" u="none" strike="noStrike" baseline="0">
              <a:solidFill>
                <a:srgbClr val="000000"/>
              </a:solidFill>
              <a:latin typeface="Arial"/>
              <a:cs typeface="Arial"/>
            </a:rPr>
          </a:br>
          <a:r>
            <a:rPr lang="en-US" sz="1200" b="1" i="0" u="none" strike="noStrike" baseline="0">
              <a:solidFill>
                <a:srgbClr val="000000"/>
              </a:solidFill>
              <a:latin typeface="Arial"/>
              <a:cs typeface="Arial"/>
            </a:rPr>
            <a:t>Shows a positive correlation between CO2 and temperature.</a:t>
          </a: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Step 3.2</a:t>
          </a:r>
          <a:r>
            <a:rPr lang="en-US" sz="1200" b="0" i="0" u="none" strike="noStrike" baseline="0">
              <a:solidFill>
                <a:srgbClr val="000000"/>
              </a:solidFill>
              <a:latin typeface="Arial"/>
              <a:cs typeface="Arial"/>
            </a:rPr>
            <a:t>: Add a linear trend line to the X-Y chart created above, using the </a:t>
          </a:r>
          <a:r>
            <a:rPr lang="en-US" sz="1200" b="0" i="1" u="none" strike="noStrike" baseline="0">
              <a:solidFill>
                <a:srgbClr val="000000"/>
              </a:solidFill>
              <a:latin typeface="Arial"/>
              <a:cs typeface="Arial"/>
            </a:rPr>
            <a:t>Chart</a:t>
          </a:r>
          <a:r>
            <a:rPr lang="en-US" sz="1200" b="0" i="0" u="none" strike="noStrike" baseline="0">
              <a:solidFill>
                <a:srgbClr val="000000"/>
              </a:solidFill>
              <a:latin typeface="Arial"/>
              <a:cs typeface="Arial"/>
            </a:rPr>
            <a:t> menu on the menubar. RIght click on the trend line, choose </a:t>
          </a:r>
          <a:r>
            <a:rPr lang="en-US" sz="1200" b="0" i="1" u="none" strike="noStrike" baseline="0">
              <a:solidFill>
                <a:srgbClr val="000000"/>
              </a:solidFill>
              <a:latin typeface="Arial"/>
              <a:cs typeface="Arial"/>
            </a:rPr>
            <a:t>Format trendline, </a:t>
          </a:r>
          <a:r>
            <a:rPr lang="en-US" sz="1200" b="0" i="0" u="none" strike="noStrike" baseline="0">
              <a:solidFill>
                <a:srgbClr val="000000"/>
              </a:solidFill>
              <a:latin typeface="Arial"/>
              <a:cs typeface="Arial"/>
            </a:rPr>
            <a:t>choose the </a:t>
          </a:r>
          <a:r>
            <a:rPr lang="en-US" sz="1200" b="0" i="1" u="none" strike="noStrike" baseline="0">
              <a:solidFill>
                <a:srgbClr val="000000"/>
              </a:solidFill>
              <a:latin typeface="Arial"/>
              <a:cs typeface="Arial"/>
            </a:rPr>
            <a:t>Options</a:t>
          </a:r>
          <a:r>
            <a:rPr lang="en-US" sz="1200" b="0" i="0" u="none" strike="noStrike" baseline="0">
              <a:solidFill>
                <a:srgbClr val="000000"/>
              </a:solidFill>
              <a:latin typeface="Arial"/>
              <a:cs typeface="Arial"/>
            </a:rPr>
            <a:t> tab, and choose </a:t>
          </a:r>
          <a:r>
            <a:rPr lang="en-US" sz="1200" b="0" i="1" u="none" strike="noStrike" baseline="0">
              <a:solidFill>
                <a:srgbClr val="000000"/>
              </a:solidFill>
              <a:latin typeface="Arial"/>
              <a:cs typeface="Arial"/>
            </a:rPr>
            <a:t>Display equation on Chart </a:t>
          </a:r>
          <a:r>
            <a:rPr lang="en-US" sz="1200" b="0" i="0" u="none" strike="noStrike" baseline="0">
              <a:solidFill>
                <a:srgbClr val="000000"/>
              </a:solidFill>
              <a:latin typeface="Arial"/>
              <a:cs typeface="Arial"/>
            </a:rPr>
            <a:t>and </a:t>
          </a:r>
          <a:r>
            <a:rPr lang="en-US" sz="1200" b="0" i="1" u="none" strike="noStrike" baseline="0">
              <a:solidFill>
                <a:srgbClr val="000000"/>
              </a:solidFill>
              <a:latin typeface="Arial"/>
              <a:cs typeface="Arial"/>
            </a:rPr>
            <a:t>Display R-squared</a:t>
          </a:r>
          <a:r>
            <a:rPr lang="en-US" sz="1200" b="0" i="0" u="none" strike="noStrike" baseline="0">
              <a:solidFill>
                <a:srgbClr val="000000"/>
              </a:solidFill>
              <a:latin typeface="Arial"/>
              <a:cs typeface="Arial"/>
            </a:rPr>
            <a:t>. This displays the slope of the trend line and the square of the correlation coefficient </a:t>
          </a:r>
          <a:r>
            <a:rPr lang="en-US" sz="1200" b="0" i="1" u="none" strike="noStrike" baseline="0">
              <a:solidFill>
                <a:srgbClr val="000000"/>
              </a:solidFill>
              <a:latin typeface="Arial"/>
              <a:cs typeface="Arial"/>
            </a:rPr>
            <a:t>R</a:t>
          </a:r>
          <a:r>
            <a:rPr lang="en-US" sz="1200" b="0" i="0" u="none" strike="noStrike" baseline="0">
              <a:solidFill>
                <a:srgbClr val="000000"/>
              </a:solidFill>
              <a:latin typeface="Arial"/>
              <a:cs typeface="Arial"/>
            </a:rPr>
            <a:t>. Then answer the following question: </a:t>
          </a:r>
          <a:r>
            <a:rPr lang="en-US" sz="1200" b="1" i="0" u="none" strike="noStrike" baseline="0">
              <a:solidFill>
                <a:srgbClr val="000000"/>
              </a:solidFill>
              <a:latin typeface="Arial"/>
              <a:cs typeface="Arial"/>
            </a:rPr>
            <a:t>What is the change in </a:t>
          </a:r>
          <a:r>
            <a:rPr lang="en-US" sz="1200" b="1" i="1" u="none" strike="noStrike" baseline="0">
              <a:solidFill>
                <a:srgbClr val="000000"/>
              </a:solidFill>
              <a:latin typeface="Arial"/>
              <a:cs typeface="Arial"/>
            </a:rPr>
            <a:t>CO2 (</a:t>
          </a:r>
          <a:r>
            <a:rPr lang="en-US" sz="1200" b="1" i="0" u="none" strike="noStrike" baseline="0">
              <a:solidFill>
                <a:srgbClr val="000000"/>
              </a:solidFill>
              <a:latin typeface="Arial"/>
              <a:cs typeface="Arial"/>
            </a:rPr>
            <a:t>in ppm</a:t>
          </a:r>
          <a:r>
            <a:rPr lang="en-US" sz="1200" b="1" i="1" u="none" strike="noStrike" baseline="0">
              <a:solidFill>
                <a:srgbClr val="000000"/>
              </a:solidFill>
              <a:latin typeface="Arial"/>
              <a:cs typeface="Arial"/>
            </a:rPr>
            <a:t>)</a:t>
          </a:r>
          <a:r>
            <a:rPr lang="en-US" sz="1200" b="1" i="0" u="none" strike="noStrike" baseline="0">
              <a:solidFill>
                <a:srgbClr val="000000"/>
              </a:solidFill>
              <a:latin typeface="Arial"/>
              <a:cs typeface="Arial"/>
            </a:rPr>
            <a:t> associated with a 1 degree change in </a:t>
          </a:r>
          <a:r>
            <a:rPr lang="en-US" sz="1200" b="1" i="1" u="none" strike="noStrike" baseline="0">
              <a:solidFill>
                <a:srgbClr val="000000"/>
              </a:solidFill>
              <a:latin typeface="Arial"/>
              <a:cs typeface="Arial"/>
            </a:rPr>
            <a:t>T?</a:t>
          </a:r>
        </a:p>
        <a:p>
          <a:pPr algn="l" rtl="0">
            <a:defRPr sz="1000"/>
          </a:pPr>
          <a:r>
            <a:rPr lang="en-US" sz="2000" b="1" i="0" u="none" strike="noStrike" baseline="0">
              <a:solidFill>
                <a:srgbClr val="FF0000"/>
              </a:solidFill>
              <a:latin typeface="Arial"/>
              <a:cs typeface="Arial"/>
            </a:rPr>
            <a:t>10</a:t>
          </a:r>
        </a:p>
        <a:p>
          <a:pPr algn="l" rtl="0">
            <a:defRPr sz="1000"/>
          </a:pPr>
          <a:r>
            <a:rPr lang="en-US" sz="1200" b="1" i="0" u="none" strike="noStrike" baseline="0">
              <a:solidFill>
                <a:srgbClr val="000000"/>
              </a:solidFill>
              <a:latin typeface="Arial"/>
              <a:cs typeface="Arial"/>
            </a:rPr>
            <a:t>ANSWER: 10.76 ppm/C</a:t>
          </a: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Step 3.3</a:t>
          </a:r>
          <a:r>
            <a:rPr lang="en-US" sz="1200" b="0" i="0" u="none" strike="noStrike" baseline="0">
              <a:solidFill>
                <a:srgbClr val="000000"/>
              </a:solidFill>
              <a:latin typeface="Arial"/>
              <a:cs typeface="Arial"/>
            </a:rPr>
            <a:t>: Are the changes in </a:t>
          </a:r>
          <a:r>
            <a:rPr lang="en-US" sz="1200" b="0" i="1" u="none" strike="noStrike" baseline="0">
              <a:solidFill>
                <a:srgbClr val="000000"/>
              </a:solidFill>
              <a:latin typeface="Arial"/>
              <a:cs typeface="Arial"/>
            </a:rPr>
            <a:t>CO2</a:t>
          </a:r>
          <a:r>
            <a:rPr lang="en-US" sz="1200" b="0" i="0" u="none" strike="noStrike" baseline="0">
              <a:solidFill>
                <a:srgbClr val="000000"/>
              </a:solidFill>
              <a:latin typeface="Arial"/>
              <a:cs typeface="Arial"/>
            </a:rPr>
            <a:t> responsible for the changes in </a:t>
          </a:r>
          <a:r>
            <a:rPr lang="en-US" sz="1200" b="0" i="1" u="none" strike="noStrike" baseline="0">
              <a:solidFill>
                <a:srgbClr val="000000"/>
              </a:solidFill>
              <a:latin typeface="Arial"/>
              <a:cs typeface="Arial"/>
            </a:rPr>
            <a:t>T</a:t>
          </a:r>
          <a:r>
            <a:rPr lang="en-US" sz="1200" b="0" i="0" u="none" strike="noStrike" baseline="0">
              <a:solidFill>
                <a:srgbClr val="000000"/>
              </a:solidFill>
              <a:latin typeface="Arial"/>
              <a:cs typeface="Arial"/>
            </a:rPr>
            <a:t>, or is it the changes in </a:t>
          </a:r>
          <a:r>
            <a:rPr lang="en-US" sz="1200" b="0" i="1" u="none" strike="noStrike" baseline="0">
              <a:solidFill>
                <a:srgbClr val="000000"/>
              </a:solidFill>
              <a:latin typeface="Arial"/>
              <a:cs typeface="Arial"/>
            </a:rPr>
            <a:t>T </a:t>
          </a:r>
          <a:r>
            <a:rPr lang="en-US" sz="1200" b="0" i="0" u="none" strike="noStrike" baseline="0">
              <a:solidFill>
                <a:srgbClr val="000000"/>
              </a:solidFill>
              <a:latin typeface="Arial"/>
              <a:cs typeface="Arial"/>
            </a:rPr>
            <a:t>that are driving the</a:t>
          </a:r>
          <a:r>
            <a:rPr lang="en-US" sz="1200" b="0" i="1" u="none" strike="noStrike" baseline="0">
              <a:solidFill>
                <a:srgbClr val="000000"/>
              </a:solidFill>
              <a:latin typeface="Arial"/>
              <a:cs typeface="Arial"/>
            </a:rPr>
            <a:t> CO2 </a:t>
          </a:r>
          <a:r>
            <a:rPr lang="en-US" sz="1200" b="0" i="0" u="none" strike="noStrike" baseline="0">
              <a:solidFill>
                <a:srgbClr val="000000"/>
              </a:solidFill>
              <a:latin typeface="Arial"/>
              <a:cs typeface="Arial"/>
            </a:rPr>
            <a:t>changes? How can you tell? Discuss the physical mechanisms for both possibilities.</a:t>
          </a:r>
        </a:p>
        <a:p>
          <a:pPr algn="l" rtl="0">
            <a:defRPr sz="1000"/>
          </a:pPr>
          <a:r>
            <a:rPr lang="en-US" sz="2000" b="1" i="0" u="none" strike="noStrike" baseline="0">
              <a:solidFill>
                <a:srgbClr val="FF0000"/>
              </a:solidFill>
              <a:latin typeface="Arial"/>
              <a:cs typeface="Arial"/>
            </a:rPr>
            <a:t>10</a:t>
          </a:r>
        </a:p>
        <a:p>
          <a:pPr algn="l" rtl="0">
            <a:defRPr sz="1000"/>
          </a:pPr>
          <a:r>
            <a:rPr lang="en-US" sz="1200" b="1" i="0" u="none" strike="noStrike" baseline="0">
              <a:solidFill>
                <a:srgbClr val="000000"/>
              </a:solidFill>
              <a:latin typeface="Arial"/>
              <a:cs typeface="Arial"/>
            </a:rPr>
            <a:t>COMMENTS:</a:t>
          </a:r>
        </a:p>
        <a:p>
          <a:pPr algn="l" rtl="0">
            <a:defRPr sz="1000"/>
          </a:pPr>
          <a:r>
            <a:rPr lang="en-US" sz="1200" b="1" i="0" u="none" strike="noStrike" baseline="0">
              <a:solidFill>
                <a:srgbClr val="000000"/>
              </a:solidFill>
              <a:latin typeface="Arial"/>
              <a:cs typeface="Arial"/>
            </a:rPr>
            <a:t>Both CO2 and temperature drive changes in each other, rising CO2 traps heat and increases temperature. While warming oceans release more CO2. Human causes CO2 emissions.</a:t>
          </a: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5</xdr:col>
      <xdr:colOff>16808</xdr:colOff>
      <xdr:row>2</xdr:row>
      <xdr:rowOff>68356</xdr:rowOff>
    </xdr:from>
    <xdr:to>
      <xdr:col>12</xdr:col>
      <xdr:colOff>431425</xdr:colOff>
      <xdr:row>16</xdr:row>
      <xdr:rowOff>144556</xdr:rowOff>
    </xdr:to>
    <xdr:graphicFrame macro="">
      <xdr:nvGraphicFramePr>
        <xdr:cNvPr id="9" name="Chart 8">
          <a:extLst>
            <a:ext uri="{FF2B5EF4-FFF2-40B4-BE49-F238E27FC236}">
              <a16:creationId xmlns:a16="http://schemas.microsoft.com/office/drawing/2014/main" id="{AA25096A-075B-2CF7-0622-EF2E6EBA3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ofh-my.sharepoint.com/personal/fanshika_cougarnet_uh_edu/Documents/TA_WORK_SUMMER_2024/Geos210Labs/lab06-icecore.xls" TargetMode="External"/><Relationship Id="rId1" Type="http://schemas.openxmlformats.org/officeDocument/2006/relationships/externalLinkPath" Target="https://uofh-my.sharepoint.com/personal/fanshika_cougarnet_uh_edu/Documents/TA_FALL_2024/TA_WORK_SUMMER_2024/Geos210Labs/lab06-icecor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Task 1"/>
      <sheetName val="Task 2"/>
      <sheetName val="Task 3"/>
      <sheetName val="IceCoreData"/>
      <sheetName val="Work"/>
      <sheetName val="Parameters"/>
    </sheetNames>
    <sheetDataSet>
      <sheetData sheetId="0">
        <row r="1">
          <cell r="B1" t="str">
            <v>nobody</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2339-E166-488F-8D86-D3DB4C3D5616}">
  <dimension ref="A1:D30"/>
  <sheetViews>
    <sheetView topLeftCell="A6" zoomScale="150" zoomScaleNormal="150" workbookViewId="0">
      <selection activeCell="D7" sqref="D7"/>
    </sheetView>
  </sheetViews>
  <sheetFormatPr defaultColWidth="12.42578125" defaultRowHeight="15" x14ac:dyDescent="0.25"/>
  <cols>
    <col min="1" max="1" width="12.7109375" customWidth="1"/>
    <col min="2" max="2" width="70.140625" customWidth="1"/>
    <col min="257" max="257" width="12.7109375" customWidth="1"/>
    <col min="258" max="258" width="70.140625" customWidth="1"/>
    <col min="513" max="513" width="12.7109375" customWidth="1"/>
    <col min="514" max="514" width="70.140625" customWidth="1"/>
    <col min="769" max="769" width="12.7109375" customWidth="1"/>
    <col min="770" max="770" width="70.140625" customWidth="1"/>
    <col min="1025" max="1025" width="12.7109375" customWidth="1"/>
    <col min="1026" max="1026" width="70.140625" customWidth="1"/>
    <col min="1281" max="1281" width="12.7109375" customWidth="1"/>
    <col min="1282" max="1282" width="70.140625" customWidth="1"/>
    <col min="1537" max="1537" width="12.7109375" customWidth="1"/>
    <col min="1538" max="1538" width="70.140625" customWidth="1"/>
    <col min="1793" max="1793" width="12.7109375" customWidth="1"/>
    <col min="1794" max="1794" width="70.140625" customWidth="1"/>
    <col min="2049" max="2049" width="12.7109375" customWidth="1"/>
    <col min="2050" max="2050" width="70.140625" customWidth="1"/>
    <col min="2305" max="2305" width="12.7109375" customWidth="1"/>
    <col min="2306" max="2306" width="70.140625" customWidth="1"/>
    <col min="2561" max="2561" width="12.7109375" customWidth="1"/>
    <col min="2562" max="2562" width="70.140625" customWidth="1"/>
    <col min="2817" max="2817" width="12.7109375" customWidth="1"/>
    <col min="2818" max="2818" width="70.140625" customWidth="1"/>
    <col min="3073" max="3073" width="12.7109375" customWidth="1"/>
    <col min="3074" max="3074" width="70.140625" customWidth="1"/>
    <col min="3329" max="3329" width="12.7109375" customWidth="1"/>
    <col min="3330" max="3330" width="70.140625" customWidth="1"/>
    <col min="3585" max="3585" width="12.7109375" customWidth="1"/>
    <col min="3586" max="3586" width="70.140625" customWidth="1"/>
    <col min="3841" max="3841" width="12.7109375" customWidth="1"/>
    <col min="3842" max="3842" width="70.140625" customWidth="1"/>
    <col min="4097" max="4097" width="12.7109375" customWidth="1"/>
    <col min="4098" max="4098" width="70.140625" customWidth="1"/>
    <col min="4353" max="4353" width="12.7109375" customWidth="1"/>
    <col min="4354" max="4354" width="70.140625" customWidth="1"/>
    <col min="4609" max="4609" width="12.7109375" customWidth="1"/>
    <col min="4610" max="4610" width="70.140625" customWidth="1"/>
    <col min="4865" max="4865" width="12.7109375" customWidth="1"/>
    <col min="4866" max="4866" width="70.140625" customWidth="1"/>
    <col min="5121" max="5121" width="12.7109375" customWidth="1"/>
    <col min="5122" max="5122" width="70.140625" customWidth="1"/>
    <col min="5377" max="5377" width="12.7109375" customWidth="1"/>
    <col min="5378" max="5378" width="70.140625" customWidth="1"/>
    <col min="5633" max="5633" width="12.7109375" customWidth="1"/>
    <col min="5634" max="5634" width="70.140625" customWidth="1"/>
    <col min="5889" max="5889" width="12.7109375" customWidth="1"/>
    <col min="5890" max="5890" width="70.140625" customWidth="1"/>
    <col min="6145" max="6145" width="12.7109375" customWidth="1"/>
    <col min="6146" max="6146" width="70.140625" customWidth="1"/>
    <col min="6401" max="6401" width="12.7109375" customWidth="1"/>
    <col min="6402" max="6402" width="70.140625" customWidth="1"/>
    <col min="6657" max="6657" width="12.7109375" customWidth="1"/>
    <col min="6658" max="6658" width="70.140625" customWidth="1"/>
    <col min="6913" max="6913" width="12.7109375" customWidth="1"/>
    <col min="6914" max="6914" width="70.140625" customWidth="1"/>
    <col min="7169" max="7169" width="12.7109375" customWidth="1"/>
    <col min="7170" max="7170" width="70.140625" customWidth="1"/>
    <col min="7425" max="7425" width="12.7109375" customWidth="1"/>
    <col min="7426" max="7426" width="70.140625" customWidth="1"/>
    <col min="7681" max="7681" width="12.7109375" customWidth="1"/>
    <col min="7682" max="7682" width="70.140625" customWidth="1"/>
    <col min="7937" max="7937" width="12.7109375" customWidth="1"/>
    <col min="7938" max="7938" width="70.140625" customWidth="1"/>
    <col min="8193" max="8193" width="12.7109375" customWidth="1"/>
    <col min="8194" max="8194" width="70.140625" customWidth="1"/>
    <col min="8449" max="8449" width="12.7109375" customWidth="1"/>
    <col min="8450" max="8450" width="70.140625" customWidth="1"/>
    <col min="8705" max="8705" width="12.7109375" customWidth="1"/>
    <col min="8706" max="8706" width="70.140625" customWidth="1"/>
    <col min="8961" max="8961" width="12.7109375" customWidth="1"/>
    <col min="8962" max="8962" width="70.140625" customWidth="1"/>
    <col min="9217" max="9217" width="12.7109375" customWidth="1"/>
    <col min="9218" max="9218" width="70.140625" customWidth="1"/>
    <col min="9473" max="9473" width="12.7109375" customWidth="1"/>
    <col min="9474" max="9474" width="70.140625" customWidth="1"/>
    <col min="9729" max="9729" width="12.7109375" customWidth="1"/>
    <col min="9730" max="9730" width="70.140625" customWidth="1"/>
    <col min="9985" max="9985" width="12.7109375" customWidth="1"/>
    <col min="9986" max="9986" width="70.140625" customWidth="1"/>
    <col min="10241" max="10241" width="12.7109375" customWidth="1"/>
    <col min="10242" max="10242" width="70.140625" customWidth="1"/>
    <col min="10497" max="10497" width="12.7109375" customWidth="1"/>
    <col min="10498" max="10498" width="70.140625" customWidth="1"/>
    <col min="10753" max="10753" width="12.7109375" customWidth="1"/>
    <col min="10754" max="10754" width="70.140625" customWidth="1"/>
    <col min="11009" max="11009" width="12.7109375" customWidth="1"/>
    <col min="11010" max="11010" width="70.140625" customWidth="1"/>
    <col min="11265" max="11265" width="12.7109375" customWidth="1"/>
    <col min="11266" max="11266" width="70.140625" customWidth="1"/>
    <col min="11521" max="11521" width="12.7109375" customWidth="1"/>
    <col min="11522" max="11522" width="70.140625" customWidth="1"/>
    <col min="11777" max="11777" width="12.7109375" customWidth="1"/>
    <col min="11778" max="11778" width="70.140625" customWidth="1"/>
    <col min="12033" max="12033" width="12.7109375" customWidth="1"/>
    <col min="12034" max="12034" width="70.140625" customWidth="1"/>
    <col min="12289" max="12289" width="12.7109375" customWidth="1"/>
    <col min="12290" max="12290" width="70.140625" customWidth="1"/>
    <col min="12545" max="12545" width="12.7109375" customWidth="1"/>
    <col min="12546" max="12546" width="70.140625" customWidth="1"/>
    <col min="12801" max="12801" width="12.7109375" customWidth="1"/>
    <col min="12802" max="12802" width="70.140625" customWidth="1"/>
    <col min="13057" max="13057" width="12.7109375" customWidth="1"/>
    <col min="13058" max="13058" width="70.140625" customWidth="1"/>
    <col min="13313" max="13313" width="12.7109375" customWidth="1"/>
    <col min="13314" max="13314" width="70.140625" customWidth="1"/>
    <col min="13569" max="13569" width="12.7109375" customWidth="1"/>
    <col min="13570" max="13570" width="70.140625" customWidth="1"/>
    <col min="13825" max="13825" width="12.7109375" customWidth="1"/>
    <col min="13826" max="13826" width="70.140625" customWidth="1"/>
    <col min="14081" max="14081" width="12.7109375" customWidth="1"/>
    <col min="14082" max="14082" width="70.140625" customWidth="1"/>
    <col min="14337" max="14337" width="12.7109375" customWidth="1"/>
    <col min="14338" max="14338" width="70.140625" customWidth="1"/>
    <col min="14593" max="14593" width="12.7109375" customWidth="1"/>
    <col min="14594" max="14594" width="70.140625" customWidth="1"/>
    <col min="14849" max="14849" width="12.7109375" customWidth="1"/>
    <col min="14850" max="14850" width="70.140625" customWidth="1"/>
    <col min="15105" max="15105" width="12.7109375" customWidth="1"/>
    <col min="15106" max="15106" width="70.140625" customWidth="1"/>
    <col min="15361" max="15361" width="12.7109375" customWidth="1"/>
    <col min="15362" max="15362" width="70.140625" customWidth="1"/>
    <col min="15617" max="15617" width="12.7109375" customWidth="1"/>
    <col min="15618" max="15618" width="70.140625" customWidth="1"/>
    <col min="15873" max="15873" width="12.7109375" customWidth="1"/>
    <col min="15874" max="15874" width="70.140625" customWidth="1"/>
    <col min="16129" max="16129" width="12.7109375" customWidth="1"/>
    <col min="16130" max="16130" width="70.140625" customWidth="1"/>
  </cols>
  <sheetData>
    <row r="1" spans="1:2" x14ac:dyDescent="0.25">
      <c r="A1" s="1" t="s">
        <v>0</v>
      </c>
      <c r="B1" s="1"/>
    </row>
    <row r="2" spans="1:2" x14ac:dyDescent="0.25">
      <c r="A2" s="1" t="s">
        <v>1</v>
      </c>
      <c r="B2" s="1" t="s">
        <v>2</v>
      </c>
    </row>
    <row r="3" spans="1:2" x14ac:dyDescent="0.25">
      <c r="A3" s="2" t="s">
        <v>3</v>
      </c>
      <c r="B3" s="3"/>
    </row>
    <row r="4" spans="1:2" x14ac:dyDescent="0.25">
      <c r="A4" s="2" t="s">
        <v>4</v>
      </c>
      <c r="B4" s="3"/>
    </row>
    <row r="5" spans="1:2" ht="18" x14ac:dyDescent="0.25">
      <c r="A5" s="4"/>
      <c r="B5" s="4"/>
    </row>
    <row r="6" spans="1:2" x14ac:dyDescent="0.25">
      <c r="A6" s="5"/>
      <c r="B6" s="5"/>
    </row>
    <row r="7" spans="1:2" x14ac:dyDescent="0.25">
      <c r="A7" s="5"/>
      <c r="B7" s="5"/>
    </row>
    <row r="26" spans="2:4" ht="15.75" x14ac:dyDescent="0.25">
      <c r="B26" s="6"/>
      <c r="C26" s="6"/>
      <c r="D26" s="6"/>
    </row>
    <row r="27" spans="2:4" ht="15.75" x14ac:dyDescent="0.25">
      <c r="B27" s="7"/>
      <c r="C27" s="8"/>
      <c r="D27" s="6"/>
    </row>
    <row r="28" spans="2:4" ht="15.75" x14ac:dyDescent="0.25">
      <c r="B28" s="7"/>
      <c r="C28" s="8"/>
      <c r="D28" s="6"/>
    </row>
    <row r="29" spans="2:4" ht="15.75" x14ac:dyDescent="0.25">
      <c r="B29" s="7"/>
      <c r="C29" s="8"/>
      <c r="D29" s="6"/>
    </row>
    <row r="30" spans="2:4" ht="15.75" x14ac:dyDescent="0.25">
      <c r="B30" s="7"/>
      <c r="C30" s="8"/>
      <c r="D30" s="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28E51-971E-48C7-97AB-0570C24CCFD6}">
  <dimension ref="A1:Q193"/>
  <sheetViews>
    <sheetView topLeftCell="A24" workbookViewId="0">
      <selection activeCell="J11" sqref="J11"/>
    </sheetView>
  </sheetViews>
  <sheetFormatPr defaultColWidth="12.42578125" defaultRowHeight="15" x14ac:dyDescent="0.25"/>
  <cols>
    <col min="13" max="13" width="8.28515625" customWidth="1"/>
    <col min="14" max="14" width="21.7109375" customWidth="1"/>
    <col min="15" max="15" width="16.140625" customWidth="1"/>
    <col min="16" max="16" width="17" customWidth="1"/>
    <col min="17" max="17" width="10.42578125" customWidth="1"/>
  </cols>
  <sheetData>
    <row r="1" spans="1:17" ht="25.5" x14ac:dyDescent="0.25">
      <c r="A1" s="9" t="s">
        <v>0</v>
      </c>
      <c r="B1" s="10" t="s">
        <v>28</v>
      </c>
      <c r="G1" s="13" t="s">
        <v>12</v>
      </c>
      <c r="H1" s="13" t="s">
        <v>13</v>
      </c>
      <c r="I1" s="13" t="s">
        <v>29</v>
      </c>
      <c r="J1" s="13"/>
      <c r="K1" s="14"/>
    </row>
    <row r="2" spans="1:17" x14ac:dyDescent="0.25">
      <c r="G2">
        <v>5.0599999999999996</v>
      </c>
      <c r="H2">
        <v>-439.72</v>
      </c>
      <c r="I2">
        <f xml:space="preserve"> -55.5 + (H2 + 440) / 6</f>
        <v>-55.45333333333334</v>
      </c>
      <c r="K2">
        <f>MAX(I:I)</f>
        <v>-52.330000000000005</v>
      </c>
      <c r="L2">
        <f>-50.7-(-65.27)</f>
        <v>14.569999999999993</v>
      </c>
      <c r="M2" s="16" t="s">
        <v>24</v>
      </c>
      <c r="N2" s="16"/>
      <c r="O2" s="16"/>
      <c r="P2" s="16"/>
      <c r="Q2" s="16"/>
    </row>
    <row r="3" spans="1:17" x14ac:dyDescent="0.25">
      <c r="G3">
        <v>5.45</v>
      </c>
      <c r="H3">
        <v>-441.88</v>
      </c>
      <c r="I3">
        <f t="shared" ref="I3:I66" si="0" xml:space="preserve"> -55.5 + (H3 + 440) / 6</f>
        <v>-55.813333333333333</v>
      </c>
      <c r="K3">
        <f>MIN(I:I)</f>
        <v>-65.271666666666661</v>
      </c>
      <c r="L3">
        <f>-73.2-(-65.27)</f>
        <v>-7.9300000000000068</v>
      </c>
      <c r="N3" s="16" t="s">
        <v>22</v>
      </c>
      <c r="O3" s="16"/>
    </row>
    <row r="4" spans="1:17" x14ac:dyDescent="0.25">
      <c r="G4">
        <v>5.85</v>
      </c>
      <c r="H4">
        <v>-434.77</v>
      </c>
      <c r="I4">
        <f t="shared" si="0"/>
        <v>-54.62833333333333</v>
      </c>
      <c r="N4" t="s">
        <v>18</v>
      </c>
      <c r="O4" t="s">
        <v>19</v>
      </c>
    </row>
    <row r="5" spans="1:17" x14ac:dyDescent="0.25">
      <c r="G5">
        <v>6.27</v>
      </c>
      <c r="H5">
        <v>-440.36</v>
      </c>
      <c r="I5">
        <f t="shared" si="0"/>
        <v>-55.56</v>
      </c>
      <c r="M5" s="15" t="s">
        <v>25</v>
      </c>
      <c r="N5">
        <v>119.29</v>
      </c>
      <c r="O5">
        <v>-56.9</v>
      </c>
    </row>
    <row r="6" spans="1:17" x14ac:dyDescent="0.25">
      <c r="G6">
        <v>6.7</v>
      </c>
      <c r="H6">
        <v>-441.26</v>
      </c>
      <c r="I6">
        <f t="shared" si="0"/>
        <v>-55.71</v>
      </c>
      <c r="M6" s="15" t="s">
        <v>26</v>
      </c>
      <c r="N6">
        <v>133.01</v>
      </c>
      <c r="O6">
        <v>-52.33</v>
      </c>
    </row>
    <row r="7" spans="1:17" x14ac:dyDescent="0.25">
      <c r="G7">
        <v>7.14</v>
      </c>
      <c r="H7">
        <v>-423.85</v>
      </c>
      <c r="I7">
        <f t="shared" si="0"/>
        <v>-52.808333333333337</v>
      </c>
      <c r="M7" s="15" t="s">
        <v>21</v>
      </c>
      <c r="N7" s="17">
        <f>(O6-O5)/(N6-N5)</f>
        <v>0.33309037900874677</v>
      </c>
      <c r="O7" s="17"/>
    </row>
    <row r="8" spans="1:17" x14ac:dyDescent="0.25">
      <c r="G8">
        <v>7.57</v>
      </c>
      <c r="H8">
        <v>-438.79</v>
      </c>
      <c r="I8">
        <f t="shared" si="0"/>
        <v>-55.298333333333339</v>
      </c>
      <c r="K8">
        <f>-52.33-(-50.7)</f>
        <v>-1.6299999999999955</v>
      </c>
      <c r="L8" t="s">
        <v>30</v>
      </c>
    </row>
    <row r="9" spans="1:17" x14ac:dyDescent="0.25">
      <c r="G9">
        <v>8.01</v>
      </c>
      <c r="H9">
        <v>-438.94</v>
      </c>
      <c r="I9">
        <f t="shared" si="0"/>
        <v>-55.323333333333331</v>
      </c>
      <c r="N9" s="16" t="s">
        <v>23</v>
      </c>
      <c r="O9" s="16"/>
    </row>
    <row r="10" spans="1:17" x14ac:dyDescent="0.25">
      <c r="G10">
        <v>8.44</v>
      </c>
      <c r="H10">
        <v>-435.7</v>
      </c>
      <c r="I10">
        <f t="shared" si="0"/>
        <v>-54.783333333333331</v>
      </c>
      <c r="K10">
        <f>-65.27 - (-58.5)</f>
        <v>-6.769999999999996</v>
      </c>
      <c r="L10" t="s">
        <v>31</v>
      </c>
      <c r="N10" t="s">
        <v>20</v>
      </c>
      <c r="O10" t="s">
        <v>19</v>
      </c>
    </row>
    <row r="11" spans="1:17" x14ac:dyDescent="0.25">
      <c r="G11">
        <v>8.8699999999999992</v>
      </c>
      <c r="H11">
        <v>-434.32</v>
      </c>
      <c r="I11">
        <f t="shared" si="0"/>
        <v>-54.553333333333335</v>
      </c>
      <c r="M11" s="15" t="s">
        <v>27</v>
      </c>
      <c r="N11">
        <v>12.32</v>
      </c>
      <c r="O11">
        <v>-57.37</v>
      </c>
    </row>
    <row r="12" spans="1:17" x14ac:dyDescent="0.25">
      <c r="G12">
        <v>9.31</v>
      </c>
      <c r="H12">
        <v>-439.38</v>
      </c>
      <c r="I12">
        <f t="shared" si="0"/>
        <v>-55.396666666666668</v>
      </c>
      <c r="M12" s="15" t="s">
        <v>26</v>
      </c>
      <c r="N12">
        <v>19.829999999999998</v>
      </c>
      <c r="O12">
        <v>-65.27</v>
      </c>
    </row>
    <row r="13" spans="1:17" x14ac:dyDescent="0.25">
      <c r="G13">
        <v>9.76</v>
      </c>
      <c r="H13">
        <v>-435.64</v>
      </c>
      <c r="I13">
        <f t="shared" si="0"/>
        <v>-54.773333333333333</v>
      </c>
      <c r="M13" s="15" t="s">
        <v>21</v>
      </c>
      <c r="N13" s="17">
        <f>(O12-O11)/(N12-N11)</f>
        <v>-1.051930758988016</v>
      </c>
      <c r="O13" s="17"/>
    </row>
    <row r="14" spans="1:17" x14ac:dyDescent="0.25">
      <c r="G14">
        <v>10.24</v>
      </c>
      <c r="H14">
        <v>-443.25</v>
      </c>
      <c r="I14">
        <f t="shared" si="0"/>
        <v>-56.041666666666664</v>
      </c>
    </row>
    <row r="15" spans="1:17" x14ac:dyDescent="0.25">
      <c r="G15">
        <v>10.74</v>
      </c>
      <c r="H15">
        <v>-454.11</v>
      </c>
      <c r="I15">
        <f t="shared" si="0"/>
        <v>-57.851666666666667</v>
      </c>
    </row>
    <row r="16" spans="1:17" x14ac:dyDescent="0.25">
      <c r="G16">
        <v>11.24</v>
      </c>
      <c r="H16">
        <v>-460.28</v>
      </c>
      <c r="I16">
        <f t="shared" si="0"/>
        <v>-58.879999999999995</v>
      </c>
    </row>
    <row r="17" spans="7:9" x14ac:dyDescent="0.25">
      <c r="G17">
        <v>11.74</v>
      </c>
      <c r="H17">
        <v>-458.56</v>
      </c>
      <c r="I17">
        <f t="shared" si="0"/>
        <v>-58.593333333333334</v>
      </c>
    </row>
    <row r="18" spans="7:9" x14ac:dyDescent="0.25">
      <c r="G18">
        <v>12.32</v>
      </c>
      <c r="H18">
        <v>-451.23</v>
      </c>
      <c r="I18">
        <f t="shared" si="0"/>
        <v>-57.37166666666667</v>
      </c>
    </row>
    <row r="19" spans="7:9" x14ac:dyDescent="0.25">
      <c r="G19">
        <v>12.94</v>
      </c>
      <c r="H19">
        <v>-461.94</v>
      </c>
      <c r="I19">
        <f t="shared" si="0"/>
        <v>-59.156666666666666</v>
      </c>
    </row>
    <row r="20" spans="7:9" x14ac:dyDescent="0.25">
      <c r="G20">
        <v>13.55</v>
      </c>
      <c r="H20">
        <v>-470.88</v>
      </c>
      <c r="I20">
        <f t="shared" si="0"/>
        <v>-60.646666666666668</v>
      </c>
    </row>
    <row r="21" spans="7:9" x14ac:dyDescent="0.25">
      <c r="G21">
        <v>14.17</v>
      </c>
      <c r="H21">
        <v>-476.82</v>
      </c>
      <c r="I21">
        <f t="shared" si="0"/>
        <v>-61.636666666666663</v>
      </c>
    </row>
    <row r="22" spans="7:9" x14ac:dyDescent="0.25">
      <c r="G22">
        <v>14.78</v>
      </c>
      <c r="H22">
        <v>-483.99</v>
      </c>
      <c r="I22">
        <f t="shared" si="0"/>
        <v>-62.831666666666671</v>
      </c>
    </row>
    <row r="23" spans="7:9" x14ac:dyDescent="0.25">
      <c r="G23">
        <v>15.39</v>
      </c>
      <c r="H23">
        <v>-489.57</v>
      </c>
      <c r="I23">
        <f t="shared" si="0"/>
        <v>-63.761666666666663</v>
      </c>
    </row>
    <row r="24" spans="7:9" x14ac:dyDescent="0.25">
      <c r="G24">
        <v>16.010000000000002</v>
      </c>
      <c r="H24">
        <v>-494.94</v>
      </c>
      <c r="I24">
        <f t="shared" si="0"/>
        <v>-64.656666666666666</v>
      </c>
    </row>
    <row r="25" spans="7:9" x14ac:dyDescent="0.25">
      <c r="G25">
        <v>16.690000000000001</v>
      </c>
      <c r="H25">
        <v>-488.96</v>
      </c>
      <c r="I25">
        <f t="shared" si="0"/>
        <v>-63.66</v>
      </c>
    </row>
    <row r="26" spans="7:9" x14ac:dyDescent="0.25">
      <c r="G26">
        <v>17.48</v>
      </c>
      <c r="H26">
        <v>-496.59</v>
      </c>
      <c r="I26">
        <f t="shared" si="0"/>
        <v>-64.931666666666658</v>
      </c>
    </row>
    <row r="27" spans="7:9" x14ac:dyDescent="0.25">
      <c r="G27">
        <v>18.260000000000002</v>
      </c>
      <c r="H27">
        <v>-493.46</v>
      </c>
      <c r="I27">
        <f t="shared" si="0"/>
        <v>-64.41</v>
      </c>
    </row>
    <row r="28" spans="7:9" x14ac:dyDescent="0.25">
      <c r="G28">
        <v>19.05</v>
      </c>
      <c r="H28">
        <v>-493.2</v>
      </c>
      <c r="I28">
        <f t="shared" si="0"/>
        <v>-64.36666666666666</v>
      </c>
    </row>
    <row r="29" spans="7:9" x14ac:dyDescent="0.25">
      <c r="G29">
        <v>19.829999999999998</v>
      </c>
      <c r="H29">
        <v>-498.63</v>
      </c>
      <c r="I29">
        <f t="shared" si="0"/>
        <v>-65.271666666666661</v>
      </c>
    </row>
    <row r="30" spans="7:9" x14ac:dyDescent="0.25">
      <c r="G30">
        <v>20.63</v>
      </c>
      <c r="H30">
        <v>-494.72</v>
      </c>
      <c r="I30">
        <f t="shared" si="0"/>
        <v>-64.62</v>
      </c>
    </row>
    <row r="31" spans="7:9" x14ac:dyDescent="0.25">
      <c r="G31">
        <v>21.45</v>
      </c>
      <c r="H31">
        <v>-495.59</v>
      </c>
      <c r="I31">
        <f t="shared" si="0"/>
        <v>-64.765000000000001</v>
      </c>
    </row>
    <row r="32" spans="7:9" x14ac:dyDescent="0.25">
      <c r="G32">
        <v>22.28</v>
      </c>
      <c r="H32">
        <v>-487.49</v>
      </c>
      <c r="I32">
        <f t="shared" si="0"/>
        <v>-63.414999999999999</v>
      </c>
    </row>
    <row r="33" spans="7:9" x14ac:dyDescent="0.25">
      <c r="G33">
        <v>23.11</v>
      </c>
      <c r="H33">
        <v>-490.4</v>
      </c>
      <c r="I33">
        <f t="shared" si="0"/>
        <v>-63.9</v>
      </c>
    </row>
    <row r="34" spans="7:9" x14ac:dyDescent="0.25">
      <c r="G34">
        <v>23.93</v>
      </c>
      <c r="H34">
        <v>-491.81</v>
      </c>
      <c r="I34">
        <f t="shared" si="0"/>
        <v>-64.135000000000005</v>
      </c>
    </row>
    <row r="35" spans="7:9" x14ac:dyDescent="0.25">
      <c r="G35">
        <v>24.76</v>
      </c>
      <c r="H35">
        <v>-496.94</v>
      </c>
      <c r="I35">
        <f t="shared" si="0"/>
        <v>-64.989999999999995</v>
      </c>
    </row>
    <row r="36" spans="7:9" x14ac:dyDescent="0.25">
      <c r="G36">
        <v>25.6</v>
      </c>
      <c r="H36">
        <v>-489.53</v>
      </c>
      <c r="I36">
        <f t="shared" si="0"/>
        <v>-63.754999999999995</v>
      </c>
    </row>
    <row r="37" spans="7:9" x14ac:dyDescent="0.25">
      <c r="G37">
        <v>26.43</v>
      </c>
      <c r="H37">
        <v>-484.69</v>
      </c>
      <c r="I37">
        <f t="shared" si="0"/>
        <v>-62.948333333333331</v>
      </c>
    </row>
    <row r="38" spans="7:9" x14ac:dyDescent="0.25">
      <c r="G38">
        <v>27.27</v>
      </c>
      <c r="H38">
        <v>-494.34</v>
      </c>
      <c r="I38">
        <f t="shared" si="0"/>
        <v>-64.556666666666658</v>
      </c>
    </row>
    <row r="39" spans="7:9" x14ac:dyDescent="0.25">
      <c r="G39">
        <v>28.1</v>
      </c>
      <c r="H39">
        <v>-488.52</v>
      </c>
      <c r="I39">
        <f t="shared" si="0"/>
        <v>-63.586666666666666</v>
      </c>
    </row>
    <row r="40" spans="7:9" x14ac:dyDescent="0.25">
      <c r="G40">
        <v>28.93</v>
      </c>
      <c r="H40">
        <v>-492.44</v>
      </c>
      <c r="I40">
        <f t="shared" si="0"/>
        <v>-64.239999999999995</v>
      </c>
    </row>
    <row r="41" spans="7:9" x14ac:dyDescent="0.25">
      <c r="G41">
        <v>29.74</v>
      </c>
      <c r="H41">
        <v>-485.11</v>
      </c>
      <c r="I41">
        <f t="shared" si="0"/>
        <v>-63.018333333333338</v>
      </c>
    </row>
    <row r="42" spans="7:9" x14ac:dyDescent="0.25">
      <c r="G42">
        <v>30.56</v>
      </c>
      <c r="H42">
        <v>-489.15</v>
      </c>
      <c r="I42">
        <f t="shared" si="0"/>
        <v>-63.691666666666663</v>
      </c>
    </row>
    <row r="43" spans="7:9" x14ac:dyDescent="0.25">
      <c r="G43">
        <v>31.38</v>
      </c>
      <c r="H43">
        <v>-483.53</v>
      </c>
      <c r="I43">
        <f t="shared" si="0"/>
        <v>-62.754999999999995</v>
      </c>
    </row>
    <row r="44" spans="7:9" x14ac:dyDescent="0.25">
      <c r="G44">
        <v>32.19</v>
      </c>
      <c r="H44">
        <v>-474.11</v>
      </c>
      <c r="I44">
        <f t="shared" si="0"/>
        <v>-61.185000000000002</v>
      </c>
    </row>
    <row r="45" spans="7:9" x14ac:dyDescent="0.25">
      <c r="G45">
        <v>33</v>
      </c>
      <c r="H45">
        <v>-476.61</v>
      </c>
      <c r="I45">
        <f t="shared" si="0"/>
        <v>-61.601666666666667</v>
      </c>
    </row>
    <row r="46" spans="7:9" x14ac:dyDescent="0.25">
      <c r="G46">
        <v>33.79</v>
      </c>
      <c r="H46">
        <v>-486.59</v>
      </c>
      <c r="I46">
        <f t="shared" si="0"/>
        <v>-63.264999999999993</v>
      </c>
    </row>
    <row r="47" spans="7:9" x14ac:dyDescent="0.25">
      <c r="G47">
        <v>34.590000000000003</v>
      </c>
      <c r="H47">
        <v>-484.11</v>
      </c>
      <c r="I47">
        <f t="shared" si="0"/>
        <v>-62.851666666666667</v>
      </c>
    </row>
    <row r="48" spans="7:9" x14ac:dyDescent="0.25">
      <c r="G48">
        <v>35.369999999999997</v>
      </c>
      <c r="H48">
        <v>-481.41</v>
      </c>
      <c r="I48">
        <f t="shared" si="0"/>
        <v>-62.401666666666671</v>
      </c>
    </row>
    <row r="49" spans="7:9" x14ac:dyDescent="0.25">
      <c r="G49">
        <v>36.159999999999997</v>
      </c>
      <c r="H49">
        <v>-483.57</v>
      </c>
      <c r="I49">
        <f t="shared" si="0"/>
        <v>-62.761666666666663</v>
      </c>
    </row>
    <row r="50" spans="7:9" x14ac:dyDescent="0.25">
      <c r="G50">
        <v>36.94</v>
      </c>
      <c r="H50">
        <v>-479.8</v>
      </c>
      <c r="I50">
        <f t="shared" si="0"/>
        <v>-62.133333333333333</v>
      </c>
    </row>
    <row r="51" spans="7:9" x14ac:dyDescent="0.25">
      <c r="G51">
        <v>37.71</v>
      </c>
      <c r="H51">
        <v>-481.06</v>
      </c>
      <c r="I51">
        <f t="shared" si="0"/>
        <v>-62.343333333333334</v>
      </c>
    </row>
    <row r="52" spans="7:9" x14ac:dyDescent="0.25">
      <c r="G52">
        <v>38.479999999999997</v>
      </c>
      <c r="H52">
        <v>-480.87</v>
      </c>
      <c r="I52">
        <f t="shared" si="0"/>
        <v>-62.311666666666667</v>
      </c>
    </row>
    <row r="53" spans="7:9" x14ac:dyDescent="0.25">
      <c r="G53">
        <v>39.24</v>
      </c>
      <c r="H53">
        <v>-471.56</v>
      </c>
      <c r="I53">
        <f t="shared" si="0"/>
        <v>-60.76</v>
      </c>
    </row>
    <row r="54" spans="7:9" x14ac:dyDescent="0.25">
      <c r="G54">
        <v>40.01</v>
      </c>
      <c r="H54">
        <v>-477.47</v>
      </c>
      <c r="I54">
        <f t="shared" si="0"/>
        <v>-61.745000000000005</v>
      </c>
    </row>
    <row r="55" spans="7:9" x14ac:dyDescent="0.25">
      <c r="G55">
        <v>40.770000000000003</v>
      </c>
      <c r="H55">
        <v>-475.69</v>
      </c>
      <c r="I55">
        <f t="shared" si="0"/>
        <v>-61.448333333333331</v>
      </c>
    </row>
    <row r="56" spans="7:9" x14ac:dyDescent="0.25">
      <c r="G56">
        <v>41.53</v>
      </c>
      <c r="H56">
        <v>-484.76</v>
      </c>
      <c r="I56">
        <f t="shared" si="0"/>
        <v>-62.96</v>
      </c>
    </row>
    <row r="57" spans="7:9" x14ac:dyDescent="0.25">
      <c r="G57">
        <v>42.3</v>
      </c>
      <c r="H57">
        <v>-483.23</v>
      </c>
      <c r="I57">
        <f t="shared" si="0"/>
        <v>-62.705000000000005</v>
      </c>
    </row>
    <row r="58" spans="7:9" x14ac:dyDescent="0.25">
      <c r="G58">
        <v>43.06</v>
      </c>
      <c r="H58">
        <v>-485.28</v>
      </c>
      <c r="I58">
        <f t="shared" si="0"/>
        <v>-63.04666666666666</v>
      </c>
    </row>
    <row r="59" spans="7:9" x14ac:dyDescent="0.25">
      <c r="G59">
        <v>43.82</v>
      </c>
      <c r="H59">
        <v>-483.45</v>
      </c>
      <c r="I59">
        <f t="shared" si="0"/>
        <v>-62.741666666666667</v>
      </c>
    </row>
    <row r="60" spans="7:9" x14ac:dyDescent="0.25">
      <c r="G60">
        <v>44.58</v>
      </c>
      <c r="H60">
        <v>-481.96</v>
      </c>
      <c r="I60">
        <f t="shared" si="0"/>
        <v>-62.493333333333332</v>
      </c>
    </row>
    <row r="61" spans="7:9" x14ac:dyDescent="0.25">
      <c r="G61">
        <v>45.34</v>
      </c>
      <c r="H61">
        <v>-478.73</v>
      </c>
      <c r="I61">
        <f t="shared" si="0"/>
        <v>-61.955000000000005</v>
      </c>
    </row>
    <row r="62" spans="7:9" x14ac:dyDescent="0.25">
      <c r="G62">
        <v>46.1</v>
      </c>
      <c r="H62">
        <v>-477.7</v>
      </c>
      <c r="I62">
        <f t="shared" si="0"/>
        <v>-61.783333333333331</v>
      </c>
    </row>
    <row r="63" spans="7:9" x14ac:dyDescent="0.25">
      <c r="G63">
        <v>46.85</v>
      </c>
      <c r="H63">
        <v>-476.01</v>
      </c>
      <c r="I63">
        <f t="shared" si="0"/>
        <v>-61.501666666666665</v>
      </c>
    </row>
    <row r="64" spans="7:9" x14ac:dyDescent="0.25">
      <c r="G64">
        <v>47.61</v>
      </c>
      <c r="H64">
        <v>-478.26</v>
      </c>
      <c r="I64">
        <f t="shared" si="0"/>
        <v>-61.876666666666665</v>
      </c>
    </row>
    <row r="65" spans="7:9" x14ac:dyDescent="0.25">
      <c r="G65">
        <v>48.36</v>
      </c>
      <c r="H65">
        <v>-475.4</v>
      </c>
      <c r="I65">
        <f t="shared" si="0"/>
        <v>-61.4</v>
      </c>
    </row>
    <row r="66" spans="7:9" x14ac:dyDescent="0.25">
      <c r="G66">
        <v>49.1</v>
      </c>
      <c r="H66">
        <v>-479.26</v>
      </c>
      <c r="I66">
        <f t="shared" si="0"/>
        <v>-62.043333333333329</v>
      </c>
    </row>
    <row r="67" spans="7:9" x14ac:dyDescent="0.25">
      <c r="G67">
        <v>49.85</v>
      </c>
      <c r="H67">
        <v>-474.86</v>
      </c>
      <c r="I67">
        <f t="shared" ref="I67:I130" si="1" xml:space="preserve"> -55.5 + (H67 + 440) / 6</f>
        <v>-61.31</v>
      </c>
    </row>
    <row r="68" spans="7:9" x14ac:dyDescent="0.25">
      <c r="G68">
        <v>50.6</v>
      </c>
      <c r="H68">
        <v>-483.58</v>
      </c>
      <c r="I68">
        <f t="shared" si="1"/>
        <v>-62.763333333333328</v>
      </c>
    </row>
    <row r="69" spans="7:9" x14ac:dyDescent="0.25">
      <c r="G69">
        <v>51.34</v>
      </c>
      <c r="H69">
        <v>-480.83</v>
      </c>
      <c r="I69">
        <f t="shared" si="1"/>
        <v>-62.305</v>
      </c>
    </row>
    <row r="70" spans="7:9" x14ac:dyDescent="0.25">
      <c r="G70">
        <v>52.09</v>
      </c>
      <c r="H70">
        <v>-472.77</v>
      </c>
      <c r="I70">
        <f t="shared" si="1"/>
        <v>-60.961666666666666</v>
      </c>
    </row>
    <row r="71" spans="7:9" x14ac:dyDescent="0.25">
      <c r="G71">
        <v>52.84</v>
      </c>
      <c r="H71">
        <v>-468.12</v>
      </c>
      <c r="I71">
        <f t="shared" si="1"/>
        <v>-60.186666666666667</v>
      </c>
    </row>
    <row r="72" spans="7:9" x14ac:dyDescent="0.25">
      <c r="G72">
        <v>53.58</v>
      </c>
      <c r="H72">
        <v>-464.16</v>
      </c>
      <c r="I72">
        <f t="shared" si="1"/>
        <v>-59.526666666666671</v>
      </c>
    </row>
    <row r="73" spans="7:9" x14ac:dyDescent="0.25">
      <c r="G73">
        <v>54.35</v>
      </c>
      <c r="H73">
        <v>-471.32</v>
      </c>
      <c r="I73">
        <f t="shared" si="1"/>
        <v>-60.72</v>
      </c>
    </row>
    <row r="74" spans="7:9" x14ac:dyDescent="0.25">
      <c r="G74">
        <v>55.12</v>
      </c>
      <c r="H74">
        <v>-475.98</v>
      </c>
      <c r="I74">
        <f t="shared" si="1"/>
        <v>-61.49666666666667</v>
      </c>
    </row>
    <row r="75" spans="7:9" x14ac:dyDescent="0.25">
      <c r="G75">
        <v>55.9</v>
      </c>
      <c r="H75">
        <v>-475.27</v>
      </c>
      <c r="I75">
        <f t="shared" si="1"/>
        <v>-61.37833333333333</v>
      </c>
    </row>
    <row r="76" spans="7:9" x14ac:dyDescent="0.25">
      <c r="G76">
        <v>56.69</v>
      </c>
      <c r="H76">
        <v>-480.92</v>
      </c>
      <c r="I76">
        <f t="shared" si="1"/>
        <v>-62.32</v>
      </c>
    </row>
    <row r="77" spans="7:9" x14ac:dyDescent="0.25">
      <c r="G77">
        <v>57.49</v>
      </c>
      <c r="H77">
        <v>-484.89</v>
      </c>
      <c r="I77">
        <f t="shared" si="1"/>
        <v>-62.981666666666662</v>
      </c>
    </row>
    <row r="78" spans="7:9" x14ac:dyDescent="0.25">
      <c r="G78">
        <v>58.3</v>
      </c>
      <c r="H78">
        <v>-488.53</v>
      </c>
      <c r="I78">
        <f t="shared" si="1"/>
        <v>-63.588333333333331</v>
      </c>
    </row>
    <row r="79" spans="7:9" x14ac:dyDescent="0.25">
      <c r="G79">
        <v>59.11</v>
      </c>
      <c r="H79">
        <v>-480.97</v>
      </c>
      <c r="I79">
        <f t="shared" si="1"/>
        <v>-62.32833333333334</v>
      </c>
    </row>
    <row r="80" spans="7:9" x14ac:dyDescent="0.25">
      <c r="G80">
        <v>59.94</v>
      </c>
      <c r="H80">
        <v>-490.14</v>
      </c>
      <c r="I80">
        <f t="shared" si="1"/>
        <v>-63.856666666666662</v>
      </c>
    </row>
    <row r="81" spans="7:9" x14ac:dyDescent="0.25">
      <c r="G81">
        <v>60.78</v>
      </c>
      <c r="H81">
        <v>-491.61</v>
      </c>
      <c r="I81">
        <f t="shared" si="1"/>
        <v>-64.101666666666674</v>
      </c>
    </row>
    <row r="82" spans="7:9" x14ac:dyDescent="0.25">
      <c r="G82">
        <v>61.63</v>
      </c>
      <c r="H82">
        <v>-493.53</v>
      </c>
      <c r="I82">
        <f t="shared" si="1"/>
        <v>-64.421666666666667</v>
      </c>
    </row>
    <row r="83" spans="7:9" x14ac:dyDescent="0.25">
      <c r="G83">
        <v>62.5</v>
      </c>
      <c r="H83">
        <v>-487.73</v>
      </c>
      <c r="I83">
        <f t="shared" si="1"/>
        <v>-63.455000000000005</v>
      </c>
    </row>
    <row r="84" spans="7:9" x14ac:dyDescent="0.25">
      <c r="G84">
        <v>63.38</v>
      </c>
      <c r="H84">
        <v>-489.51</v>
      </c>
      <c r="I84">
        <f t="shared" si="1"/>
        <v>-63.751666666666665</v>
      </c>
    </row>
    <row r="85" spans="7:9" x14ac:dyDescent="0.25">
      <c r="G85">
        <v>64.260000000000005</v>
      </c>
      <c r="H85">
        <v>-479.63</v>
      </c>
      <c r="I85">
        <f t="shared" si="1"/>
        <v>-62.104999999999997</v>
      </c>
    </row>
    <row r="86" spans="7:9" x14ac:dyDescent="0.25">
      <c r="G86">
        <v>65.13</v>
      </c>
      <c r="H86">
        <v>-483.98</v>
      </c>
      <c r="I86">
        <f t="shared" si="1"/>
        <v>-62.830000000000005</v>
      </c>
    </row>
    <row r="87" spans="7:9" x14ac:dyDescent="0.25">
      <c r="G87">
        <v>66.010000000000005</v>
      </c>
      <c r="H87">
        <v>-483.4</v>
      </c>
      <c r="I87">
        <f t="shared" si="1"/>
        <v>-62.733333333333327</v>
      </c>
    </row>
    <row r="88" spans="7:9" x14ac:dyDescent="0.25">
      <c r="G88">
        <v>66.88</v>
      </c>
      <c r="H88">
        <v>-477.96</v>
      </c>
      <c r="I88">
        <f t="shared" si="1"/>
        <v>-61.826666666666661</v>
      </c>
    </row>
    <row r="89" spans="7:9" x14ac:dyDescent="0.25">
      <c r="G89">
        <v>67.739999999999995</v>
      </c>
      <c r="H89">
        <v>-483.63</v>
      </c>
      <c r="I89">
        <f t="shared" si="1"/>
        <v>-62.771666666666668</v>
      </c>
    </row>
    <row r="90" spans="7:9" x14ac:dyDescent="0.25">
      <c r="G90">
        <v>68.59</v>
      </c>
      <c r="H90">
        <v>-485.65</v>
      </c>
      <c r="I90">
        <f t="shared" si="1"/>
        <v>-63.108333333333327</v>
      </c>
    </row>
    <row r="91" spans="7:9" x14ac:dyDescent="0.25">
      <c r="G91">
        <v>69.430000000000007</v>
      </c>
      <c r="H91">
        <v>-484.76</v>
      </c>
      <c r="I91">
        <f t="shared" si="1"/>
        <v>-62.96</v>
      </c>
    </row>
    <row r="92" spans="7:9" x14ac:dyDescent="0.25">
      <c r="G92">
        <v>70.27</v>
      </c>
      <c r="H92">
        <v>-477.23</v>
      </c>
      <c r="I92">
        <f t="shared" si="1"/>
        <v>-61.705000000000005</v>
      </c>
    </row>
    <row r="93" spans="7:9" x14ac:dyDescent="0.25">
      <c r="G93">
        <v>71.099999999999994</v>
      </c>
      <c r="H93">
        <v>-469.15</v>
      </c>
      <c r="I93">
        <f t="shared" si="1"/>
        <v>-60.358333333333327</v>
      </c>
    </row>
    <row r="94" spans="7:9" x14ac:dyDescent="0.25">
      <c r="G94">
        <v>71.930000000000007</v>
      </c>
      <c r="H94">
        <v>-476.41</v>
      </c>
      <c r="I94">
        <f t="shared" si="1"/>
        <v>-61.568333333333335</v>
      </c>
    </row>
    <row r="95" spans="7:9" x14ac:dyDescent="0.25">
      <c r="G95">
        <v>72.75</v>
      </c>
      <c r="H95">
        <v>-486.42</v>
      </c>
      <c r="I95">
        <f t="shared" si="1"/>
        <v>-63.236666666666672</v>
      </c>
    </row>
    <row r="96" spans="7:9" x14ac:dyDescent="0.25">
      <c r="G96">
        <v>73.569999999999993</v>
      </c>
      <c r="H96">
        <v>-477.34</v>
      </c>
      <c r="I96">
        <f t="shared" si="1"/>
        <v>-61.723333333333329</v>
      </c>
    </row>
    <row r="97" spans="7:9" x14ac:dyDescent="0.25">
      <c r="G97">
        <v>74.39</v>
      </c>
      <c r="H97">
        <v>-481.76</v>
      </c>
      <c r="I97">
        <f t="shared" si="1"/>
        <v>-62.46</v>
      </c>
    </row>
    <row r="98" spans="7:9" x14ac:dyDescent="0.25">
      <c r="G98">
        <v>75.19</v>
      </c>
      <c r="H98">
        <v>-476.22</v>
      </c>
      <c r="I98">
        <f t="shared" si="1"/>
        <v>-61.536666666666669</v>
      </c>
    </row>
    <row r="99" spans="7:9" x14ac:dyDescent="0.25">
      <c r="G99">
        <v>75.989999999999995</v>
      </c>
      <c r="H99">
        <v>-467.38</v>
      </c>
      <c r="I99">
        <f t="shared" si="1"/>
        <v>-60.063333333333333</v>
      </c>
    </row>
    <row r="100" spans="7:9" x14ac:dyDescent="0.25">
      <c r="G100">
        <v>76.790000000000006</v>
      </c>
      <c r="H100">
        <v>-465.7</v>
      </c>
      <c r="I100">
        <f t="shared" si="1"/>
        <v>-59.783333333333331</v>
      </c>
    </row>
    <row r="101" spans="7:9" x14ac:dyDescent="0.25">
      <c r="G101">
        <v>77.58</v>
      </c>
      <c r="H101">
        <v>-461.74</v>
      </c>
      <c r="I101">
        <f t="shared" si="1"/>
        <v>-59.123333333333335</v>
      </c>
    </row>
    <row r="102" spans="7:9" x14ac:dyDescent="0.25">
      <c r="G102">
        <v>78.37</v>
      </c>
      <c r="H102">
        <v>-466.86</v>
      </c>
      <c r="I102">
        <f t="shared" si="1"/>
        <v>-59.976666666666667</v>
      </c>
    </row>
    <row r="103" spans="7:9" x14ac:dyDescent="0.25">
      <c r="G103">
        <v>79.150000000000006</v>
      </c>
      <c r="H103">
        <v>-462.17</v>
      </c>
      <c r="I103">
        <f t="shared" si="1"/>
        <v>-59.195</v>
      </c>
    </row>
    <row r="104" spans="7:9" x14ac:dyDescent="0.25">
      <c r="G104">
        <v>79.930000000000007</v>
      </c>
      <c r="H104">
        <v>-466.88</v>
      </c>
      <c r="I104">
        <f t="shared" si="1"/>
        <v>-59.98</v>
      </c>
    </row>
    <row r="105" spans="7:9" x14ac:dyDescent="0.25">
      <c r="G105">
        <v>80.7</v>
      </c>
      <c r="H105">
        <v>-462.45</v>
      </c>
      <c r="I105">
        <f t="shared" si="1"/>
        <v>-59.241666666666667</v>
      </c>
    </row>
    <row r="106" spans="7:9" x14ac:dyDescent="0.25">
      <c r="G106">
        <v>81.47</v>
      </c>
      <c r="H106">
        <v>-455.84</v>
      </c>
      <c r="I106">
        <f t="shared" si="1"/>
        <v>-58.139999999999993</v>
      </c>
    </row>
    <row r="107" spans="7:9" x14ac:dyDescent="0.25">
      <c r="G107">
        <v>82.24</v>
      </c>
      <c r="H107">
        <v>-461.33</v>
      </c>
      <c r="I107">
        <f t="shared" si="1"/>
        <v>-59.055</v>
      </c>
    </row>
    <row r="108" spans="7:9" x14ac:dyDescent="0.25">
      <c r="G108">
        <v>83.01</v>
      </c>
      <c r="H108">
        <v>-465.61</v>
      </c>
      <c r="I108">
        <f t="shared" si="1"/>
        <v>-59.768333333333338</v>
      </c>
    </row>
    <row r="109" spans="7:9" x14ac:dyDescent="0.25">
      <c r="G109">
        <v>83.78</v>
      </c>
      <c r="H109">
        <v>-468.4</v>
      </c>
      <c r="I109">
        <f t="shared" si="1"/>
        <v>-60.233333333333327</v>
      </c>
    </row>
    <row r="110" spans="7:9" x14ac:dyDescent="0.25">
      <c r="G110">
        <v>84.55</v>
      </c>
      <c r="H110">
        <v>-468.79</v>
      </c>
      <c r="I110">
        <f t="shared" si="1"/>
        <v>-60.298333333333339</v>
      </c>
    </row>
    <row r="111" spans="7:9" x14ac:dyDescent="0.25">
      <c r="G111">
        <v>85.33</v>
      </c>
      <c r="H111">
        <v>-466.15</v>
      </c>
      <c r="I111">
        <f t="shared" si="1"/>
        <v>-59.858333333333327</v>
      </c>
    </row>
    <row r="112" spans="7:9" x14ac:dyDescent="0.25">
      <c r="G112">
        <v>86.1</v>
      </c>
      <c r="H112">
        <v>-473.96</v>
      </c>
      <c r="I112">
        <f t="shared" si="1"/>
        <v>-61.16</v>
      </c>
    </row>
    <row r="113" spans="7:9" x14ac:dyDescent="0.25">
      <c r="G113">
        <v>86.88</v>
      </c>
      <c r="H113">
        <v>-479.73</v>
      </c>
      <c r="I113">
        <f t="shared" si="1"/>
        <v>-62.12166666666667</v>
      </c>
    </row>
    <row r="114" spans="7:9" x14ac:dyDescent="0.25">
      <c r="G114">
        <v>87.65</v>
      </c>
      <c r="H114">
        <v>-477.95</v>
      </c>
      <c r="I114">
        <f t="shared" si="1"/>
        <v>-61.824999999999996</v>
      </c>
    </row>
    <row r="115" spans="7:9" x14ac:dyDescent="0.25">
      <c r="G115">
        <v>88.43</v>
      </c>
      <c r="H115">
        <v>-470.28</v>
      </c>
      <c r="I115">
        <f t="shared" si="1"/>
        <v>-60.54666666666666</v>
      </c>
    </row>
    <row r="116" spans="7:9" x14ac:dyDescent="0.25">
      <c r="G116">
        <v>89.21</v>
      </c>
      <c r="H116">
        <v>-475.39</v>
      </c>
      <c r="I116">
        <f t="shared" si="1"/>
        <v>-61.398333333333333</v>
      </c>
    </row>
    <row r="117" spans="7:9" x14ac:dyDescent="0.25">
      <c r="G117">
        <v>89.99</v>
      </c>
      <c r="H117">
        <v>-471.17</v>
      </c>
      <c r="I117">
        <f t="shared" si="1"/>
        <v>-60.695</v>
      </c>
    </row>
    <row r="118" spans="7:9" x14ac:dyDescent="0.25">
      <c r="G118">
        <v>90.78</v>
      </c>
      <c r="H118">
        <v>-464.77</v>
      </c>
      <c r="I118">
        <f t="shared" si="1"/>
        <v>-59.62833333333333</v>
      </c>
    </row>
    <row r="119" spans="7:9" x14ac:dyDescent="0.25">
      <c r="G119">
        <v>91.56</v>
      </c>
      <c r="H119">
        <v>-471.4</v>
      </c>
      <c r="I119">
        <f t="shared" si="1"/>
        <v>-60.733333333333327</v>
      </c>
    </row>
    <row r="120" spans="7:9" x14ac:dyDescent="0.25">
      <c r="G120">
        <v>92.35</v>
      </c>
      <c r="H120">
        <v>-469.84</v>
      </c>
      <c r="I120">
        <f t="shared" si="1"/>
        <v>-60.473333333333329</v>
      </c>
    </row>
    <row r="121" spans="7:9" x14ac:dyDescent="0.25">
      <c r="G121">
        <v>93.15</v>
      </c>
      <c r="H121">
        <v>-466.57</v>
      </c>
      <c r="I121">
        <f t="shared" si="1"/>
        <v>-59.928333333333335</v>
      </c>
    </row>
    <row r="122" spans="7:9" x14ac:dyDescent="0.25">
      <c r="G122">
        <v>93.94</v>
      </c>
      <c r="H122">
        <v>-468.47</v>
      </c>
      <c r="I122">
        <f t="shared" si="1"/>
        <v>-60.245000000000005</v>
      </c>
    </row>
    <row r="123" spans="7:9" x14ac:dyDescent="0.25">
      <c r="G123">
        <v>94.73</v>
      </c>
      <c r="H123">
        <v>-472</v>
      </c>
      <c r="I123">
        <f t="shared" si="1"/>
        <v>-60.833333333333336</v>
      </c>
    </row>
    <row r="124" spans="7:9" x14ac:dyDescent="0.25">
      <c r="G124">
        <v>95.53</v>
      </c>
      <c r="H124">
        <v>-470.42</v>
      </c>
      <c r="I124">
        <f t="shared" si="1"/>
        <v>-60.57</v>
      </c>
    </row>
    <row r="125" spans="7:9" x14ac:dyDescent="0.25">
      <c r="G125">
        <v>96.33</v>
      </c>
      <c r="H125">
        <v>-464.69</v>
      </c>
      <c r="I125">
        <f t="shared" si="1"/>
        <v>-59.615000000000002</v>
      </c>
    </row>
    <row r="126" spans="7:9" x14ac:dyDescent="0.25">
      <c r="G126">
        <v>97.13</v>
      </c>
      <c r="H126">
        <v>-465.83</v>
      </c>
      <c r="I126">
        <f t="shared" si="1"/>
        <v>-59.805</v>
      </c>
    </row>
    <row r="127" spans="7:9" x14ac:dyDescent="0.25">
      <c r="G127">
        <v>97.93</v>
      </c>
      <c r="H127">
        <v>-465.48</v>
      </c>
      <c r="I127">
        <f t="shared" si="1"/>
        <v>-59.74666666666667</v>
      </c>
    </row>
    <row r="128" spans="7:9" x14ac:dyDescent="0.25">
      <c r="G128">
        <v>98.74</v>
      </c>
      <c r="H128">
        <v>-463.17</v>
      </c>
      <c r="I128">
        <f t="shared" si="1"/>
        <v>-59.361666666666672</v>
      </c>
    </row>
    <row r="129" spans="7:9" x14ac:dyDescent="0.25">
      <c r="G129">
        <v>99.55</v>
      </c>
      <c r="H129">
        <v>-459.69</v>
      </c>
      <c r="I129">
        <f t="shared" si="1"/>
        <v>-58.781666666666666</v>
      </c>
    </row>
    <row r="130" spans="7:9" x14ac:dyDescent="0.25">
      <c r="G130">
        <v>100.38</v>
      </c>
      <c r="H130">
        <v>-457.24</v>
      </c>
      <c r="I130">
        <f t="shared" si="1"/>
        <v>-58.373333333333335</v>
      </c>
    </row>
    <row r="131" spans="7:9" x14ac:dyDescent="0.25">
      <c r="G131">
        <v>101.23</v>
      </c>
      <c r="H131">
        <v>-460.89</v>
      </c>
      <c r="I131">
        <f t="shared" ref="I131:I193" si="2" xml:space="preserve"> -55.5 + (H131 + 440) / 6</f>
        <v>-58.981666666666662</v>
      </c>
    </row>
    <row r="132" spans="7:9" x14ac:dyDescent="0.25">
      <c r="G132">
        <v>102.08</v>
      </c>
      <c r="H132">
        <v>-468.1</v>
      </c>
      <c r="I132">
        <f t="shared" si="2"/>
        <v>-60.183333333333337</v>
      </c>
    </row>
    <row r="133" spans="7:9" x14ac:dyDescent="0.25">
      <c r="G133">
        <v>102.97</v>
      </c>
      <c r="H133">
        <v>-466.45</v>
      </c>
      <c r="I133">
        <f t="shared" si="2"/>
        <v>-59.908333333333331</v>
      </c>
    </row>
    <row r="134" spans="7:9" x14ac:dyDescent="0.25">
      <c r="G134">
        <v>103.87</v>
      </c>
      <c r="H134">
        <v>-469.43</v>
      </c>
      <c r="I134">
        <f t="shared" si="2"/>
        <v>-60.405000000000001</v>
      </c>
    </row>
    <row r="135" spans="7:9" x14ac:dyDescent="0.25">
      <c r="G135">
        <v>104.78</v>
      </c>
      <c r="H135">
        <v>-466.93</v>
      </c>
      <c r="I135">
        <f t="shared" si="2"/>
        <v>-59.988333333333337</v>
      </c>
    </row>
    <row r="136" spans="7:9" x14ac:dyDescent="0.25">
      <c r="G136">
        <v>105.71</v>
      </c>
      <c r="H136">
        <v>-468.74</v>
      </c>
      <c r="I136">
        <f t="shared" si="2"/>
        <v>-60.29</v>
      </c>
    </row>
    <row r="137" spans="7:9" x14ac:dyDescent="0.25">
      <c r="G137">
        <v>106.65</v>
      </c>
      <c r="H137">
        <v>-469.11</v>
      </c>
      <c r="I137">
        <f t="shared" si="2"/>
        <v>-60.351666666666667</v>
      </c>
    </row>
    <row r="138" spans="7:9" x14ac:dyDescent="0.25">
      <c r="G138">
        <v>107.64</v>
      </c>
      <c r="H138">
        <v>-484.17</v>
      </c>
      <c r="I138">
        <f t="shared" si="2"/>
        <v>-62.861666666666672</v>
      </c>
    </row>
    <row r="139" spans="7:9" x14ac:dyDescent="0.25">
      <c r="G139">
        <v>108.62</v>
      </c>
      <c r="H139">
        <v>-481.53</v>
      </c>
      <c r="I139">
        <f t="shared" si="2"/>
        <v>-62.42166666666666</v>
      </c>
    </row>
    <row r="140" spans="7:9" x14ac:dyDescent="0.25">
      <c r="G140">
        <v>109.6</v>
      </c>
      <c r="H140">
        <v>-479.63</v>
      </c>
      <c r="I140">
        <f t="shared" si="2"/>
        <v>-62.104999999999997</v>
      </c>
    </row>
    <row r="141" spans="7:9" x14ac:dyDescent="0.25">
      <c r="G141">
        <v>110.57</v>
      </c>
      <c r="H141">
        <v>-476.4</v>
      </c>
      <c r="I141">
        <f t="shared" si="2"/>
        <v>-61.566666666666663</v>
      </c>
    </row>
    <row r="142" spans="7:9" x14ac:dyDescent="0.25">
      <c r="G142">
        <v>111.53</v>
      </c>
      <c r="H142">
        <v>-478.78</v>
      </c>
      <c r="I142">
        <f t="shared" si="2"/>
        <v>-61.963333333333331</v>
      </c>
    </row>
    <row r="143" spans="7:9" x14ac:dyDescent="0.25">
      <c r="G143">
        <v>112.45</v>
      </c>
      <c r="H143">
        <v>-480.79</v>
      </c>
      <c r="I143">
        <f t="shared" si="2"/>
        <v>-62.298333333333339</v>
      </c>
    </row>
    <row r="144" spans="7:9" x14ac:dyDescent="0.25">
      <c r="G144">
        <v>113.37</v>
      </c>
      <c r="H144">
        <v>-479.64</v>
      </c>
      <c r="I144">
        <f t="shared" si="2"/>
        <v>-62.106666666666662</v>
      </c>
    </row>
    <row r="145" spans="7:9" x14ac:dyDescent="0.25">
      <c r="G145">
        <v>114.27</v>
      </c>
      <c r="H145">
        <v>-473.94</v>
      </c>
      <c r="I145">
        <f t="shared" si="2"/>
        <v>-61.156666666666666</v>
      </c>
    </row>
    <row r="146" spans="7:9" x14ac:dyDescent="0.25">
      <c r="G146">
        <v>115.15</v>
      </c>
      <c r="H146">
        <v>-468.3</v>
      </c>
      <c r="I146">
        <f t="shared" si="2"/>
        <v>-60.216666666666669</v>
      </c>
    </row>
    <row r="147" spans="7:9" x14ac:dyDescent="0.25">
      <c r="G147">
        <v>116.02</v>
      </c>
      <c r="H147">
        <v>-468.07</v>
      </c>
      <c r="I147">
        <f t="shared" si="2"/>
        <v>-60.178333333333335</v>
      </c>
    </row>
    <row r="148" spans="7:9" x14ac:dyDescent="0.25">
      <c r="G148">
        <v>116.85</v>
      </c>
      <c r="H148">
        <v>-460.36</v>
      </c>
      <c r="I148">
        <f t="shared" si="2"/>
        <v>-58.893333333333338</v>
      </c>
    </row>
    <row r="149" spans="7:9" x14ac:dyDescent="0.25">
      <c r="G149">
        <v>117.68</v>
      </c>
      <c r="H149">
        <v>-458.29</v>
      </c>
      <c r="I149">
        <f t="shared" si="2"/>
        <v>-58.548333333333339</v>
      </c>
    </row>
    <row r="150" spans="7:9" x14ac:dyDescent="0.25">
      <c r="G150">
        <v>118.5</v>
      </c>
      <c r="H150">
        <v>-451.61</v>
      </c>
      <c r="I150">
        <f t="shared" si="2"/>
        <v>-57.435000000000002</v>
      </c>
    </row>
    <row r="151" spans="7:9" x14ac:dyDescent="0.25">
      <c r="G151">
        <v>119.29</v>
      </c>
      <c r="H151">
        <v>-452.02</v>
      </c>
      <c r="I151">
        <f t="shared" si="2"/>
        <v>-57.50333333333333</v>
      </c>
    </row>
    <row r="152" spans="7:9" x14ac:dyDescent="0.25">
      <c r="G152">
        <v>120.09</v>
      </c>
      <c r="H152">
        <v>-448.9</v>
      </c>
      <c r="I152">
        <f t="shared" si="2"/>
        <v>-56.983333333333327</v>
      </c>
    </row>
    <row r="153" spans="7:9" x14ac:dyDescent="0.25">
      <c r="G153">
        <v>120.85</v>
      </c>
      <c r="H153">
        <v>-447.81</v>
      </c>
      <c r="I153">
        <f t="shared" si="2"/>
        <v>-56.801666666666669</v>
      </c>
    </row>
    <row r="154" spans="7:9" x14ac:dyDescent="0.25">
      <c r="G154">
        <v>121.61</v>
      </c>
      <c r="H154">
        <v>-448.1</v>
      </c>
      <c r="I154">
        <f t="shared" si="2"/>
        <v>-56.85</v>
      </c>
    </row>
    <row r="155" spans="7:9" x14ac:dyDescent="0.25">
      <c r="G155">
        <v>122.36</v>
      </c>
      <c r="H155">
        <v>-447.17</v>
      </c>
      <c r="I155">
        <f t="shared" si="2"/>
        <v>-56.695</v>
      </c>
    </row>
    <row r="156" spans="7:9" x14ac:dyDescent="0.25">
      <c r="G156">
        <v>123.1</v>
      </c>
      <c r="H156">
        <v>-441.91</v>
      </c>
      <c r="I156">
        <f t="shared" si="2"/>
        <v>-55.818333333333335</v>
      </c>
    </row>
    <row r="157" spans="7:9" x14ac:dyDescent="0.25">
      <c r="G157">
        <v>123.83</v>
      </c>
      <c r="H157">
        <v>-442.83</v>
      </c>
      <c r="I157">
        <f t="shared" si="2"/>
        <v>-55.971666666666664</v>
      </c>
    </row>
    <row r="158" spans="7:9" x14ac:dyDescent="0.25">
      <c r="G158">
        <v>124.54</v>
      </c>
      <c r="H158">
        <v>-436.6</v>
      </c>
      <c r="I158">
        <f t="shared" si="2"/>
        <v>-54.933333333333337</v>
      </c>
    </row>
    <row r="159" spans="7:9" x14ac:dyDescent="0.25">
      <c r="G159">
        <v>125.25</v>
      </c>
      <c r="H159">
        <v>-438.57</v>
      </c>
      <c r="I159">
        <f t="shared" si="2"/>
        <v>-55.261666666666663</v>
      </c>
    </row>
    <row r="160" spans="7:9" x14ac:dyDescent="0.25">
      <c r="G160">
        <v>125.95</v>
      </c>
      <c r="H160">
        <v>-443.29</v>
      </c>
      <c r="I160">
        <f t="shared" si="2"/>
        <v>-56.048333333333339</v>
      </c>
    </row>
    <row r="161" spans="7:9" x14ac:dyDescent="0.25">
      <c r="G161">
        <v>126.65</v>
      </c>
      <c r="H161">
        <v>-439.33</v>
      </c>
      <c r="I161">
        <f t="shared" si="2"/>
        <v>-55.388333333333328</v>
      </c>
    </row>
    <row r="162" spans="7:9" x14ac:dyDescent="0.25">
      <c r="G162">
        <v>127.34</v>
      </c>
      <c r="H162">
        <v>-434.71</v>
      </c>
      <c r="I162">
        <f t="shared" si="2"/>
        <v>-54.618333333333332</v>
      </c>
    </row>
    <row r="163" spans="7:9" x14ac:dyDescent="0.25">
      <c r="G163">
        <v>128.04</v>
      </c>
      <c r="H163">
        <v>-436.55</v>
      </c>
      <c r="I163">
        <f t="shared" si="2"/>
        <v>-54.925000000000004</v>
      </c>
    </row>
    <row r="164" spans="7:9" x14ac:dyDescent="0.25">
      <c r="G164">
        <v>128.74</v>
      </c>
      <c r="H164">
        <v>-435.07</v>
      </c>
      <c r="I164">
        <f t="shared" si="2"/>
        <v>-54.678333333333335</v>
      </c>
    </row>
    <row r="165" spans="7:9" x14ac:dyDescent="0.25">
      <c r="G165">
        <v>129.44</v>
      </c>
      <c r="H165">
        <v>-437.07</v>
      </c>
      <c r="I165">
        <f t="shared" si="2"/>
        <v>-55.011666666666663</v>
      </c>
    </row>
    <row r="166" spans="7:9" x14ac:dyDescent="0.25">
      <c r="G166">
        <v>130.15</v>
      </c>
      <c r="H166">
        <v>-435.33</v>
      </c>
      <c r="I166">
        <f t="shared" si="2"/>
        <v>-54.721666666666664</v>
      </c>
    </row>
    <row r="167" spans="7:9" x14ac:dyDescent="0.25">
      <c r="G167">
        <v>130.86000000000001</v>
      </c>
      <c r="H167">
        <v>-430.06</v>
      </c>
      <c r="I167">
        <f t="shared" si="2"/>
        <v>-53.843333333333334</v>
      </c>
    </row>
    <row r="168" spans="7:9" x14ac:dyDescent="0.25">
      <c r="G168">
        <v>131.57</v>
      </c>
      <c r="H168">
        <v>-425.54</v>
      </c>
      <c r="I168">
        <f t="shared" si="2"/>
        <v>-53.09</v>
      </c>
    </row>
    <row r="169" spans="7:9" x14ac:dyDescent="0.25">
      <c r="G169">
        <v>132.29</v>
      </c>
      <c r="H169">
        <v>-427.15</v>
      </c>
      <c r="I169">
        <f t="shared" si="2"/>
        <v>-53.358333333333327</v>
      </c>
    </row>
    <row r="170" spans="7:9" x14ac:dyDescent="0.25">
      <c r="G170">
        <v>133.01</v>
      </c>
      <c r="H170">
        <v>-420.98</v>
      </c>
      <c r="I170">
        <f t="shared" si="2"/>
        <v>-52.330000000000005</v>
      </c>
    </row>
    <row r="171" spans="7:9" x14ac:dyDescent="0.25">
      <c r="G171">
        <v>133.74</v>
      </c>
      <c r="H171">
        <v>-428.51</v>
      </c>
      <c r="I171">
        <f t="shared" si="2"/>
        <v>-53.585000000000001</v>
      </c>
    </row>
    <row r="172" spans="7:9" x14ac:dyDescent="0.25">
      <c r="G172">
        <v>134.47</v>
      </c>
      <c r="H172">
        <v>-440.89</v>
      </c>
      <c r="I172">
        <f t="shared" si="2"/>
        <v>-55.648333333333333</v>
      </c>
    </row>
    <row r="173" spans="7:9" x14ac:dyDescent="0.25">
      <c r="G173">
        <v>135.24</v>
      </c>
      <c r="H173">
        <v>-430.44</v>
      </c>
      <c r="I173">
        <f t="shared" si="2"/>
        <v>-53.906666666666666</v>
      </c>
    </row>
    <row r="174" spans="7:9" x14ac:dyDescent="0.25">
      <c r="G174">
        <v>136</v>
      </c>
      <c r="H174">
        <v>-437.21</v>
      </c>
      <c r="I174">
        <f t="shared" si="2"/>
        <v>-55.034999999999997</v>
      </c>
    </row>
    <row r="175" spans="7:9" x14ac:dyDescent="0.25">
      <c r="G175">
        <v>136.80000000000001</v>
      </c>
      <c r="H175">
        <v>-442.66</v>
      </c>
      <c r="I175">
        <f t="shared" si="2"/>
        <v>-55.943333333333335</v>
      </c>
    </row>
    <row r="176" spans="7:9" x14ac:dyDescent="0.25">
      <c r="G176">
        <v>137.63999999999999</v>
      </c>
      <c r="H176">
        <v>-454.55</v>
      </c>
      <c r="I176">
        <f t="shared" si="2"/>
        <v>-57.925000000000004</v>
      </c>
    </row>
    <row r="177" spans="7:9" x14ac:dyDescent="0.25">
      <c r="G177">
        <v>138.49</v>
      </c>
      <c r="H177">
        <v>-456.74</v>
      </c>
      <c r="I177">
        <f t="shared" si="2"/>
        <v>-58.29</v>
      </c>
    </row>
    <row r="178" spans="7:9" x14ac:dyDescent="0.25">
      <c r="G178">
        <v>139.43</v>
      </c>
      <c r="H178">
        <v>-464.04</v>
      </c>
      <c r="I178">
        <f t="shared" si="2"/>
        <v>-59.506666666666668</v>
      </c>
    </row>
    <row r="179" spans="7:9" x14ac:dyDescent="0.25">
      <c r="G179">
        <v>140.4</v>
      </c>
      <c r="H179">
        <v>-473.68</v>
      </c>
      <c r="I179">
        <f t="shared" si="2"/>
        <v>-61.113333333333337</v>
      </c>
    </row>
    <row r="180" spans="7:9" x14ac:dyDescent="0.25">
      <c r="G180">
        <v>141.38999999999999</v>
      </c>
      <c r="H180">
        <v>-484.07</v>
      </c>
      <c r="I180">
        <f t="shared" si="2"/>
        <v>-62.844999999999999</v>
      </c>
    </row>
    <row r="181" spans="7:9" x14ac:dyDescent="0.25">
      <c r="G181">
        <v>142.49</v>
      </c>
      <c r="H181">
        <v>-486.84</v>
      </c>
      <c r="I181">
        <f t="shared" si="2"/>
        <v>-63.306666666666665</v>
      </c>
    </row>
    <row r="182" spans="7:9" x14ac:dyDescent="0.25">
      <c r="G182">
        <v>143.61000000000001</v>
      </c>
      <c r="H182">
        <v>-485.33</v>
      </c>
      <c r="I182">
        <f t="shared" si="2"/>
        <v>-63.055</v>
      </c>
    </row>
    <row r="183" spans="7:9" x14ac:dyDescent="0.25">
      <c r="G183">
        <v>144.88999999999999</v>
      </c>
      <c r="H183">
        <v>-496.7</v>
      </c>
      <c r="I183">
        <f t="shared" si="2"/>
        <v>-64.95</v>
      </c>
    </row>
    <row r="184" spans="7:9" x14ac:dyDescent="0.25">
      <c r="G184">
        <v>146.18</v>
      </c>
      <c r="H184">
        <v>-496.39</v>
      </c>
      <c r="I184">
        <f t="shared" si="2"/>
        <v>-64.898333333333326</v>
      </c>
    </row>
    <row r="185" spans="7:9" x14ac:dyDescent="0.25">
      <c r="G185">
        <v>147.58000000000001</v>
      </c>
      <c r="H185">
        <v>-490.49</v>
      </c>
      <c r="I185">
        <f t="shared" si="2"/>
        <v>-63.914999999999999</v>
      </c>
    </row>
    <row r="186" spans="7:9" x14ac:dyDescent="0.25">
      <c r="G186">
        <v>149.11000000000001</v>
      </c>
      <c r="H186">
        <v>-492</v>
      </c>
      <c r="I186">
        <f t="shared" si="2"/>
        <v>-64.166666666666671</v>
      </c>
    </row>
    <row r="187" spans="7:9" x14ac:dyDescent="0.25">
      <c r="G187">
        <v>150.66999999999999</v>
      </c>
      <c r="H187">
        <v>-490.51</v>
      </c>
      <c r="I187">
        <f t="shared" si="2"/>
        <v>-63.918333333333329</v>
      </c>
    </row>
    <row r="188" spans="7:9" x14ac:dyDescent="0.25">
      <c r="G188">
        <v>152.35</v>
      </c>
      <c r="H188">
        <v>-495.73</v>
      </c>
      <c r="I188">
        <f t="shared" si="2"/>
        <v>-64.788333333333341</v>
      </c>
    </row>
    <row r="189" spans="7:9" x14ac:dyDescent="0.25">
      <c r="G189">
        <v>154.02000000000001</v>
      </c>
      <c r="H189">
        <v>-490.8</v>
      </c>
      <c r="I189">
        <f t="shared" si="2"/>
        <v>-63.966666666666669</v>
      </c>
    </row>
    <row r="190" spans="7:9" x14ac:dyDescent="0.25">
      <c r="G190">
        <v>155.69999999999999</v>
      </c>
      <c r="H190">
        <v>-495.07</v>
      </c>
      <c r="I190">
        <f t="shared" si="2"/>
        <v>-64.678333333333327</v>
      </c>
    </row>
    <row r="191" spans="7:9" x14ac:dyDescent="0.25">
      <c r="G191">
        <v>157.38</v>
      </c>
      <c r="H191">
        <v>-492.08</v>
      </c>
      <c r="I191">
        <f t="shared" si="2"/>
        <v>-64.179999999999993</v>
      </c>
    </row>
    <row r="192" spans="7:9" x14ac:dyDescent="0.25">
      <c r="G192">
        <v>159.05000000000001</v>
      </c>
      <c r="H192">
        <v>-496.54</v>
      </c>
      <c r="I192">
        <f t="shared" si="2"/>
        <v>-64.923333333333332</v>
      </c>
    </row>
    <row r="193" spans="7:9" x14ac:dyDescent="0.25">
      <c r="G193">
        <v>160.72999999999999</v>
      </c>
      <c r="H193">
        <v>-492.25</v>
      </c>
      <c r="I193">
        <f t="shared" si="2"/>
        <v>-64.208333333333329</v>
      </c>
    </row>
  </sheetData>
  <mergeCells count="5">
    <mergeCell ref="M2:Q2"/>
    <mergeCell ref="N7:O7"/>
    <mergeCell ref="N13:O13"/>
    <mergeCell ref="N3:O3"/>
    <mergeCell ref="N9:O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7E800-7673-4699-B24E-5BDD0532E783}">
  <dimension ref="A1:K193"/>
  <sheetViews>
    <sheetView topLeftCell="A3" zoomScale="82" workbookViewId="0">
      <selection activeCell="X32" sqref="X32"/>
    </sheetView>
  </sheetViews>
  <sheetFormatPr defaultColWidth="12.42578125" defaultRowHeight="15" x14ac:dyDescent="0.25"/>
  <cols>
    <col min="1" max="1" width="16" customWidth="1"/>
    <col min="2" max="2" width="57" customWidth="1"/>
    <col min="257" max="257" width="16" customWidth="1"/>
    <col min="258" max="258" width="57" customWidth="1"/>
    <col min="513" max="513" width="16" customWidth="1"/>
    <col min="514" max="514" width="57" customWidth="1"/>
    <col min="769" max="769" width="16" customWidth="1"/>
    <col min="770" max="770" width="57" customWidth="1"/>
    <col min="1025" max="1025" width="16" customWidth="1"/>
    <col min="1026" max="1026" width="57" customWidth="1"/>
    <col min="1281" max="1281" width="16" customWidth="1"/>
    <col min="1282" max="1282" width="57" customWidth="1"/>
    <col min="1537" max="1537" width="16" customWidth="1"/>
    <col min="1538" max="1538" width="57" customWidth="1"/>
    <col min="1793" max="1793" width="16" customWidth="1"/>
    <col min="1794" max="1794" width="57" customWidth="1"/>
    <col min="2049" max="2049" width="16" customWidth="1"/>
    <col min="2050" max="2050" width="57" customWidth="1"/>
    <col min="2305" max="2305" width="16" customWidth="1"/>
    <col min="2306" max="2306" width="57" customWidth="1"/>
    <col min="2561" max="2561" width="16" customWidth="1"/>
    <col min="2562" max="2562" width="57" customWidth="1"/>
    <col min="2817" max="2817" width="16" customWidth="1"/>
    <col min="2818" max="2818" width="57" customWidth="1"/>
    <col min="3073" max="3073" width="16" customWidth="1"/>
    <col min="3074" max="3074" width="57" customWidth="1"/>
    <col min="3329" max="3329" width="16" customWidth="1"/>
    <col min="3330" max="3330" width="57" customWidth="1"/>
    <col min="3585" max="3585" width="16" customWidth="1"/>
    <col min="3586" max="3586" width="57" customWidth="1"/>
    <col min="3841" max="3841" width="16" customWidth="1"/>
    <col min="3842" max="3842" width="57" customWidth="1"/>
    <col min="4097" max="4097" width="16" customWidth="1"/>
    <col min="4098" max="4098" width="57" customWidth="1"/>
    <col min="4353" max="4353" width="16" customWidth="1"/>
    <col min="4354" max="4354" width="57" customWidth="1"/>
    <col min="4609" max="4609" width="16" customWidth="1"/>
    <col min="4610" max="4610" width="57" customWidth="1"/>
    <col min="4865" max="4865" width="16" customWidth="1"/>
    <col min="4866" max="4866" width="57" customWidth="1"/>
    <col min="5121" max="5121" width="16" customWidth="1"/>
    <col min="5122" max="5122" width="57" customWidth="1"/>
    <col min="5377" max="5377" width="16" customWidth="1"/>
    <col min="5378" max="5378" width="57" customWidth="1"/>
    <col min="5633" max="5633" width="16" customWidth="1"/>
    <col min="5634" max="5634" width="57" customWidth="1"/>
    <col min="5889" max="5889" width="16" customWidth="1"/>
    <col min="5890" max="5890" width="57" customWidth="1"/>
    <col min="6145" max="6145" width="16" customWidth="1"/>
    <col min="6146" max="6146" width="57" customWidth="1"/>
    <col min="6401" max="6401" width="16" customWidth="1"/>
    <col min="6402" max="6402" width="57" customWidth="1"/>
    <col min="6657" max="6657" width="16" customWidth="1"/>
    <col min="6658" max="6658" width="57" customWidth="1"/>
    <col min="6913" max="6913" width="16" customWidth="1"/>
    <col min="6914" max="6914" width="57" customWidth="1"/>
    <col min="7169" max="7169" width="16" customWidth="1"/>
    <col min="7170" max="7170" width="57" customWidth="1"/>
    <col min="7425" max="7425" width="16" customWidth="1"/>
    <col min="7426" max="7426" width="57" customWidth="1"/>
    <col min="7681" max="7681" width="16" customWidth="1"/>
    <col min="7682" max="7682" width="57" customWidth="1"/>
    <col min="7937" max="7937" width="16" customWidth="1"/>
    <col min="7938" max="7938" width="57" customWidth="1"/>
    <col min="8193" max="8193" width="16" customWidth="1"/>
    <col min="8194" max="8194" width="57" customWidth="1"/>
    <col min="8449" max="8449" width="16" customWidth="1"/>
    <col min="8450" max="8450" width="57" customWidth="1"/>
    <col min="8705" max="8705" width="16" customWidth="1"/>
    <col min="8706" max="8706" width="57" customWidth="1"/>
    <col min="8961" max="8961" width="16" customWidth="1"/>
    <col min="8962" max="8962" width="57" customWidth="1"/>
    <col min="9217" max="9217" width="16" customWidth="1"/>
    <col min="9218" max="9218" width="57" customWidth="1"/>
    <col min="9473" max="9473" width="16" customWidth="1"/>
    <col min="9474" max="9474" width="57" customWidth="1"/>
    <col min="9729" max="9729" width="16" customWidth="1"/>
    <col min="9730" max="9730" width="57" customWidth="1"/>
    <col min="9985" max="9985" width="16" customWidth="1"/>
    <col min="9986" max="9986" width="57" customWidth="1"/>
    <col min="10241" max="10241" width="16" customWidth="1"/>
    <col min="10242" max="10242" width="57" customWidth="1"/>
    <col min="10497" max="10497" width="16" customWidth="1"/>
    <col min="10498" max="10498" width="57" customWidth="1"/>
    <col min="10753" max="10753" width="16" customWidth="1"/>
    <col min="10754" max="10754" width="57" customWidth="1"/>
    <col min="11009" max="11009" width="16" customWidth="1"/>
    <col min="11010" max="11010" width="57" customWidth="1"/>
    <col min="11265" max="11265" width="16" customWidth="1"/>
    <col min="11266" max="11266" width="57" customWidth="1"/>
    <col min="11521" max="11521" width="16" customWidth="1"/>
    <col min="11522" max="11522" width="57" customWidth="1"/>
    <col min="11777" max="11777" width="16" customWidth="1"/>
    <col min="11778" max="11778" width="57" customWidth="1"/>
    <col min="12033" max="12033" width="16" customWidth="1"/>
    <col min="12034" max="12034" width="57" customWidth="1"/>
    <col min="12289" max="12289" width="16" customWidth="1"/>
    <col min="12290" max="12290" width="57" customWidth="1"/>
    <col min="12545" max="12545" width="16" customWidth="1"/>
    <col min="12546" max="12546" width="57" customWidth="1"/>
    <col min="12801" max="12801" width="16" customWidth="1"/>
    <col min="12802" max="12802" width="57" customWidth="1"/>
    <col min="13057" max="13057" width="16" customWidth="1"/>
    <col min="13058" max="13058" width="57" customWidth="1"/>
    <col min="13313" max="13313" width="16" customWidth="1"/>
    <col min="13314" max="13314" width="57" customWidth="1"/>
    <col min="13569" max="13569" width="16" customWidth="1"/>
    <col min="13570" max="13570" width="57" customWidth="1"/>
    <col min="13825" max="13825" width="16" customWidth="1"/>
    <col min="13826" max="13826" width="57" customWidth="1"/>
    <col min="14081" max="14081" width="16" customWidth="1"/>
    <col min="14082" max="14082" width="57" customWidth="1"/>
    <col min="14337" max="14337" width="16" customWidth="1"/>
    <col min="14338" max="14338" width="57" customWidth="1"/>
    <col min="14593" max="14593" width="16" customWidth="1"/>
    <col min="14594" max="14594" width="57" customWidth="1"/>
    <col min="14849" max="14849" width="16" customWidth="1"/>
    <col min="14850" max="14850" width="57" customWidth="1"/>
    <col min="15105" max="15105" width="16" customWidth="1"/>
    <col min="15106" max="15106" width="57" customWidth="1"/>
    <col min="15361" max="15361" width="16" customWidth="1"/>
    <col min="15362" max="15362" width="57" customWidth="1"/>
    <col min="15617" max="15617" width="16" customWidth="1"/>
    <col min="15618" max="15618" width="57" customWidth="1"/>
    <col min="15873" max="15873" width="16" customWidth="1"/>
    <col min="15874" max="15874" width="57" customWidth="1"/>
    <col min="16129" max="16129" width="16" customWidth="1"/>
    <col min="16130" max="16130" width="57" customWidth="1"/>
  </cols>
  <sheetData>
    <row r="1" spans="1:9" ht="25.5" x14ac:dyDescent="0.25">
      <c r="A1" s="9" t="s">
        <v>0</v>
      </c>
      <c r="B1" s="10" t="str">
        <f>[1]Title!B1</f>
        <v>nobody</v>
      </c>
      <c r="C1" s="14" t="s">
        <v>11</v>
      </c>
      <c r="D1" s="13" t="s">
        <v>12</v>
      </c>
      <c r="E1" s="13" t="s">
        <v>15</v>
      </c>
      <c r="F1" s="13" t="s">
        <v>32</v>
      </c>
      <c r="G1" s="13" t="s">
        <v>16</v>
      </c>
      <c r="H1" s="13" t="s">
        <v>29</v>
      </c>
    </row>
    <row r="2" spans="1:9" x14ac:dyDescent="0.25">
      <c r="C2">
        <v>150</v>
      </c>
      <c r="D2">
        <v>5.0599999999999996</v>
      </c>
      <c r="E2">
        <v>2.66</v>
      </c>
      <c r="F2">
        <f>D2-E2</f>
        <v>2.3999999999999995</v>
      </c>
      <c r="G2">
        <v>272.14</v>
      </c>
      <c r="H2">
        <v>-55.45333333333334</v>
      </c>
      <c r="I2" t="s">
        <v>33</v>
      </c>
    </row>
    <row r="3" spans="1:9" x14ac:dyDescent="0.25">
      <c r="A3" s="11" t="s">
        <v>5</v>
      </c>
      <c r="B3" s="11" t="s">
        <v>6</v>
      </c>
      <c r="C3">
        <v>160</v>
      </c>
      <c r="D3">
        <v>5.45</v>
      </c>
      <c r="E3">
        <v>3.04</v>
      </c>
      <c r="F3">
        <f t="shared" ref="F3:F66" si="0">D3-E3</f>
        <v>2.41</v>
      </c>
      <c r="G3">
        <v>271.22000000000003</v>
      </c>
      <c r="H3">
        <v>-55.813333333333333</v>
      </c>
      <c r="I3" t="s">
        <v>34</v>
      </c>
    </row>
    <row r="4" spans="1:9" x14ac:dyDescent="0.25">
      <c r="B4" s="12"/>
      <c r="C4">
        <v>170</v>
      </c>
      <c r="D4">
        <v>5.85</v>
      </c>
      <c r="E4">
        <v>3.41</v>
      </c>
      <c r="F4">
        <f t="shared" si="0"/>
        <v>2.4399999999999995</v>
      </c>
      <c r="G4">
        <v>270.29000000000002</v>
      </c>
      <c r="H4">
        <v>-54.62833333333333</v>
      </c>
      <c r="I4" t="s">
        <v>35</v>
      </c>
    </row>
    <row r="5" spans="1:9" x14ac:dyDescent="0.25">
      <c r="C5">
        <v>180</v>
      </c>
      <c r="D5">
        <v>6.27</v>
      </c>
      <c r="E5">
        <v>3.82</v>
      </c>
      <c r="F5">
        <f t="shared" si="0"/>
        <v>2.4499999999999997</v>
      </c>
      <c r="G5">
        <v>268.39</v>
      </c>
      <c r="H5">
        <v>-55.56</v>
      </c>
    </row>
    <row r="6" spans="1:9" x14ac:dyDescent="0.25">
      <c r="C6">
        <v>190</v>
      </c>
      <c r="D6">
        <v>6.7</v>
      </c>
      <c r="E6">
        <v>4.25</v>
      </c>
      <c r="F6">
        <f t="shared" si="0"/>
        <v>2.4500000000000002</v>
      </c>
      <c r="G6">
        <v>266.06</v>
      </c>
      <c r="H6">
        <v>-55.71</v>
      </c>
    </row>
    <row r="7" spans="1:9" x14ac:dyDescent="0.25">
      <c r="C7">
        <v>200</v>
      </c>
      <c r="D7">
        <v>7.14</v>
      </c>
      <c r="E7">
        <v>4.67</v>
      </c>
      <c r="F7">
        <f t="shared" si="0"/>
        <v>2.4699999999999998</v>
      </c>
      <c r="G7">
        <v>263.73</v>
      </c>
      <c r="H7">
        <v>-52.808333333333337</v>
      </c>
    </row>
    <row r="8" spans="1:9" x14ac:dyDescent="0.25">
      <c r="C8">
        <v>210</v>
      </c>
      <c r="D8">
        <v>7.57</v>
      </c>
      <c r="E8">
        <v>5.09</v>
      </c>
      <c r="F8">
        <f t="shared" si="0"/>
        <v>2.4800000000000004</v>
      </c>
      <c r="G8">
        <v>261.39999999999998</v>
      </c>
      <c r="H8">
        <v>-55.298333333333339</v>
      </c>
    </row>
    <row r="9" spans="1:9" x14ac:dyDescent="0.25">
      <c r="C9">
        <v>220</v>
      </c>
      <c r="D9">
        <v>8.01</v>
      </c>
      <c r="E9">
        <v>5.52</v>
      </c>
      <c r="F9">
        <f t="shared" si="0"/>
        <v>2.4900000000000002</v>
      </c>
      <c r="G9">
        <v>259.06</v>
      </c>
      <c r="H9">
        <v>-55.323333333333331</v>
      </c>
    </row>
    <row r="10" spans="1:9" x14ac:dyDescent="0.25">
      <c r="C10">
        <v>230</v>
      </c>
      <c r="D10">
        <v>8.44</v>
      </c>
      <c r="E10">
        <v>5.94</v>
      </c>
      <c r="F10">
        <f t="shared" si="0"/>
        <v>2.4999999999999991</v>
      </c>
      <c r="G10">
        <v>256.73</v>
      </c>
      <c r="H10">
        <v>-54.783333333333331</v>
      </c>
    </row>
    <row r="11" spans="1:9" x14ac:dyDescent="0.25">
      <c r="C11">
        <v>240</v>
      </c>
      <c r="D11">
        <v>8.8699999999999992</v>
      </c>
      <c r="E11">
        <v>6.36</v>
      </c>
      <c r="F11">
        <f t="shared" si="0"/>
        <v>2.5099999999999989</v>
      </c>
      <c r="G11">
        <v>254.4</v>
      </c>
      <c r="H11">
        <v>-54.553333333333335</v>
      </c>
    </row>
    <row r="12" spans="1:9" x14ac:dyDescent="0.25">
      <c r="C12">
        <v>250</v>
      </c>
      <c r="D12">
        <v>9.31</v>
      </c>
      <c r="E12">
        <v>6.79</v>
      </c>
      <c r="F12">
        <f t="shared" si="0"/>
        <v>2.5200000000000005</v>
      </c>
      <c r="G12">
        <v>252.07</v>
      </c>
      <c r="H12">
        <v>-55.396666666666668</v>
      </c>
    </row>
    <row r="13" spans="1:9" x14ac:dyDescent="0.25">
      <c r="C13">
        <v>260</v>
      </c>
      <c r="D13">
        <v>9.76</v>
      </c>
      <c r="E13">
        <v>7.23</v>
      </c>
      <c r="F13">
        <f t="shared" si="0"/>
        <v>2.5299999999999994</v>
      </c>
      <c r="G13">
        <v>255.09</v>
      </c>
      <c r="H13">
        <v>-54.773333333333333</v>
      </c>
    </row>
    <row r="14" spans="1:9" x14ac:dyDescent="0.25">
      <c r="C14">
        <v>270</v>
      </c>
      <c r="D14">
        <v>10.24</v>
      </c>
      <c r="E14">
        <v>7.68</v>
      </c>
      <c r="F14">
        <f t="shared" si="0"/>
        <v>2.5600000000000005</v>
      </c>
      <c r="G14">
        <v>257.22000000000003</v>
      </c>
      <c r="H14">
        <v>-56.041666666666664</v>
      </c>
    </row>
    <row r="15" spans="1:9" x14ac:dyDescent="0.25">
      <c r="C15">
        <v>280</v>
      </c>
      <c r="D15">
        <v>10.74</v>
      </c>
      <c r="E15">
        <v>8.1300000000000008</v>
      </c>
      <c r="F15">
        <f t="shared" si="0"/>
        <v>2.6099999999999994</v>
      </c>
      <c r="G15">
        <v>257.77</v>
      </c>
      <c r="H15">
        <v>-57.851666666666667</v>
      </c>
    </row>
    <row r="16" spans="1:9" x14ac:dyDescent="0.25">
      <c r="C16">
        <v>290</v>
      </c>
      <c r="D16">
        <v>11.24</v>
      </c>
      <c r="E16">
        <v>8.58</v>
      </c>
      <c r="F16">
        <f t="shared" si="0"/>
        <v>2.66</v>
      </c>
      <c r="G16">
        <v>258.31</v>
      </c>
      <c r="H16">
        <v>-58.879999999999995</v>
      </c>
    </row>
    <row r="17" spans="3:8" x14ac:dyDescent="0.25">
      <c r="C17">
        <v>300</v>
      </c>
      <c r="D17">
        <v>11.74</v>
      </c>
      <c r="E17">
        <v>9.02</v>
      </c>
      <c r="F17">
        <f t="shared" si="0"/>
        <v>2.7200000000000006</v>
      </c>
      <c r="G17">
        <v>258.86</v>
      </c>
      <c r="H17">
        <v>-58.593333333333334</v>
      </c>
    </row>
    <row r="18" spans="3:8" x14ac:dyDescent="0.25">
      <c r="C18">
        <v>310</v>
      </c>
      <c r="D18">
        <v>12.32</v>
      </c>
      <c r="E18">
        <v>9.52</v>
      </c>
      <c r="F18">
        <f t="shared" si="0"/>
        <v>2.8000000000000007</v>
      </c>
      <c r="G18">
        <v>257.58</v>
      </c>
      <c r="H18">
        <v>-57.37166666666667</v>
      </c>
    </row>
    <row r="19" spans="3:8" x14ac:dyDescent="0.25">
      <c r="C19">
        <v>320</v>
      </c>
      <c r="D19">
        <v>12.94</v>
      </c>
      <c r="E19">
        <v>10.039999999999999</v>
      </c>
      <c r="F19">
        <f t="shared" si="0"/>
        <v>2.9000000000000004</v>
      </c>
      <c r="G19">
        <v>255.66</v>
      </c>
      <c r="H19">
        <v>-59.156666666666666</v>
      </c>
    </row>
    <row r="20" spans="3:8" x14ac:dyDescent="0.25">
      <c r="C20">
        <v>330</v>
      </c>
      <c r="D20">
        <v>13.55</v>
      </c>
      <c r="E20">
        <v>10.56</v>
      </c>
      <c r="F20">
        <f t="shared" si="0"/>
        <v>2.99</v>
      </c>
      <c r="G20">
        <v>253.75</v>
      </c>
      <c r="H20">
        <v>-60.646666666666668</v>
      </c>
    </row>
    <row r="21" spans="3:8" x14ac:dyDescent="0.25">
      <c r="C21">
        <v>340</v>
      </c>
      <c r="D21">
        <v>14.17</v>
      </c>
      <c r="E21">
        <v>11.08</v>
      </c>
      <c r="F21">
        <f t="shared" si="0"/>
        <v>3.09</v>
      </c>
      <c r="G21">
        <v>251.83</v>
      </c>
      <c r="H21">
        <v>-61.636666666666663</v>
      </c>
    </row>
    <row r="22" spans="3:8" x14ac:dyDescent="0.25">
      <c r="C22">
        <v>350</v>
      </c>
      <c r="D22">
        <v>14.78</v>
      </c>
      <c r="E22">
        <v>11.6</v>
      </c>
      <c r="F22">
        <f t="shared" si="0"/>
        <v>3.1799999999999997</v>
      </c>
      <c r="G22">
        <v>249.91</v>
      </c>
      <c r="H22">
        <v>-62.831666666666671</v>
      </c>
    </row>
    <row r="23" spans="3:8" x14ac:dyDescent="0.25">
      <c r="C23">
        <v>360</v>
      </c>
      <c r="D23">
        <v>15.39</v>
      </c>
      <c r="E23">
        <v>12.12</v>
      </c>
      <c r="F23">
        <f t="shared" si="0"/>
        <v>3.2700000000000014</v>
      </c>
      <c r="G23">
        <v>247.99</v>
      </c>
      <c r="H23">
        <v>-63.761666666666663</v>
      </c>
    </row>
    <row r="24" spans="3:8" x14ac:dyDescent="0.25">
      <c r="C24">
        <v>370</v>
      </c>
      <c r="D24">
        <v>16.010000000000002</v>
      </c>
      <c r="E24">
        <v>12.64</v>
      </c>
      <c r="F24">
        <f t="shared" si="0"/>
        <v>3.370000000000001</v>
      </c>
      <c r="G24">
        <v>246.07</v>
      </c>
      <c r="H24">
        <v>-64.656666666666666</v>
      </c>
    </row>
    <row r="25" spans="3:8" x14ac:dyDescent="0.25">
      <c r="C25">
        <v>380</v>
      </c>
      <c r="D25">
        <v>16.690000000000001</v>
      </c>
      <c r="E25">
        <v>13.22</v>
      </c>
      <c r="F25">
        <f t="shared" si="0"/>
        <v>3.4700000000000006</v>
      </c>
      <c r="G25">
        <v>240.5</v>
      </c>
      <c r="H25">
        <v>-63.66</v>
      </c>
    </row>
    <row r="26" spans="3:8" x14ac:dyDescent="0.25">
      <c r="C26">
        <v>390</v>
      </c>
      <c r="D26">
        <v>17.48</v>
      </c>
      <c r="E26">
        <v>13.87</v>
      </c>
      <c r="F26">
        <f t="shared" si="0"/>
        <v>3.6100000000000012</v>
      </c>
      <c r="G26">
        <v>230.26</v>
      </c>
      <c r="H26">
        <v>-64.931666666666658</v>
      </c>
    </row>
    <row r="27" spans="3:8" x14ac:dyDescent="0.25">
      <c r="C27">
        <v>400</v>
      </c>
      <c r="D27">
        <v>18.260000000000002</v>
      </c>
      <c r="E27">
        <v>14.52</v>
      </c>
      <c r="F27">
        <f t="shared" si="0"/>
        <v>3.740000000000002</v>
      </c>
      <c r="G27">
        <v>220.02</v>
      </c>
      <c r="H27">
        <v>-64.41</v>
      </c>
    </row>
    <row r="28" spans="3:8" x14ac:dyDescent="0.25">
      <c r="C28">
        <v>410</v>
      </c>
      <c r="D28">
        <v>19.05</v>
      </c>
      <c r="E28">
        <v>15.18</v>
      </c>
      <c r="F28">
        <f t="shared" si="0"/>
        <v>3.870000000000001</v>
      </c>
      <c r="G28">
        <v>209.79</v>
      </c>
      <c r="H28">
        <v>-64.36666666666666</v>
      </c>
    </row>
    <row r="29" spans="3:8" x14ac:dyDescent="0.25">
      <c r="C29">
        <v>420</v>
      </c>
      <c r="D29">
        <v>19.829999999999998</v>
      </c>
      <c r="E29">
        <v>15.83</v>
      </c>
      <c r="F29">
        <f t="shared" si="0"/>
        <v>3.9999999999999982</v>
      </c>
      <c r="G29">
        <v>199.55</v>
      </c>
      <c r="H29">
        <v>-65.271666666666661</v>
      </c>
    </row>
    <row r="30" spans="3:8" x14ac:dyDescent="0.25">
      <c r="C30">
        <v>430</v>
      </c>
      <c r="D30">
        <v>20.63</v>
      </c>
      <c r="E30">
        <v>16.54</v>
      </c>
      <c r="F30">
        <f t="shared" si="0"/>
        <v>4.09</v>
      </c>
      <c r="G30">
        <v>193.11</v>
      </c>
      <c r="H30">
        <v>-64.62</v>
      </c>
    </row>
    <row r="31" spans="3:8" x14ac:dyDescent="0.25">
      <c r="C31">
        <v>440</v>
      </c>
      <c r="D31">
        <v>21.45</v>
      </c>
      <c r="E31">
        <v>17.34</v>
      </c>
      <c r="F31">
        <f t="shared" si="0"/>
        <v>4.1099999999999994</v>
      </c>
      <c r="G31">
        <v>193.43</v>
      </c>
      <c r="H31">
        <v>-64.765000000000001</v>
      </c>
    </row>
    <row r="32" spans="3:8" x14ac:dyDescent="0.25">
      <c r="C32">
        <v>450</v>
      </c>
      <c r="D32">
        <v>22.28</v>
      </c>
      <c r="E32">
        <v>18.149999999999999</v>
      </c>
      <c r="F32">
        <f t="shared" si="0"/>
        <v>4.1300000000000026</v>
      </c>
      <c r="G32">
        <v>193.74</v>
      </c>
      <c r="H32">
        <v>-63.414999999999999</v>
      </c>
    </row>
    <row r="33" spans="3:11" x14ac:dyDescent="0.25">
      <c r="C33">
        <v>460</v>
      </c>
      <c r="D33">
        <v>23.11</v>
      </c>
      <c r="E33">
        <v>18.95</v>
      </c>
      <c r="F33">
        <f t="shared" si="0"/>
        <v>4.16</v>
      </c>
      <c r="G33">
        <v>194.05</v>
      </c>
      <c r="H33">
        <v>-63.9</v>
      </c>
    </row>
    <row r="34" spans="3:11" x14ac:dyDescent="0.25">
      <c r="C34">
        <v>470</v>
      </c>
      <c r="D34">
        <v>23.93</v>
      </c>
      <c r="E34">
        <v>19.75</v>
      </c>
      <c r="F34">
        <f t="shared" si="0"/>
        <v>4.18</v>
      </c>
      <c r="G34">
        <v>194.37</v>
      </c>
      <c r="H34">
        <v>-64.135000000000005</v>
      </c>
    </row>
    <row r="35" spans="3:11" x14ac:dyDescent="0.25">
      <c r="C35">
        <v>480</v>
      </c>
      <c r="D35">
        <v>24.76</v>
      </c>
      <c r="E35">
        <v>20.58</v>
      </c>
      <c r="F35">
        <f t="shared" si="0"/>
        <v>4.1800000000000033</v>
      </c>
      <c r="G35">
        <v>195.13</v>
      </c>
      <c r="H35">
        <v>-64.989999999999995</v>
      </c>
    </row>
    <row r="36" spans="3:11" x14ac:dyDescent="0.25">
      <c r="C36">
        <v>490</v>
      </c>
      <c r="D36">
        <v>25.6</v>
      </c>
      <c r="E36">
        <v>21.42</v>
      </c>
      <c r="F36">
        <f t="shared" si="0"/>
        <v>4.18</v>
      </c>
      <c r="G36">
        <v>196.21</v>
      </c>
      <c r="H36">
        <v>-63.754999999999995</v>
      </c>
    </row>
    <row r="37" spans="3:11" x14ac:dyDescent="0.25">
      <c r="C37">
        <v>500</v>
      </c>
      <c r="D37">
        <v>26.43</v>
      </c>
      <c r="E37">
        <v>22.27</v>
      </c>
      <c r="F37">
        <f t="shared" si="0"/>
        <v>4.16</v>
      </c>
      <c r="G37">
        <v>197.29</v>
      </c>
      <c r="H37">
        <v>-62.948333333333331</v>
      </c>
    </row>
    <row r="38" spans="3:11" x14ac:dyDescent="0.25">
      <c r="C38">
        <v>510</v>
      </c>
      <c r="D38">
        <v>27.27</v>
      </c>
      <c r="E38">
        <v>23.11</v>
      </c>
      <c r="F38">
        <f t="shared" si="0"/>
        <v>4.16</v>
      </c>
      <c r="G38">
        <v>198.37</v>
      </c>
      <c r="H38">
        <v>-64.556666666666658</v>
      </c>
    </row>
    <row r="39" spans="3:11" x14ac:dyDescent="0.25">
      <c r="C39">
        <v>520</v>
      </c>
      <c r="D39">
        <v>28.1</v>
      </c>
      <c r="E39">
        <v>23.96</v>
      </c>
      <c r="F39">
        <f t="shared" si="0"/>
        <v>4.1400000000000006</v>
      </c>
      <c r="G39">
        <v>199.45</v>
      </c>
      <c r="H39">
        <v>-63.586666666666666</v>
      </c>
      <c r="K39" t="s">
        <v>36</v>
      </c>
    </row>
    <row r="40" spans="3:11" x14ac:dyDescent="0.25">
      <c r="C40">
        <v>530</v>
      </c>
      <c r="D40">
        <v>28.93</v>
      </c>
      <c r="E40">
        <v>24.81</v>
      </c>
      <c r="F40">
        <f t="shared" si="0"/>
        <v>4.120000000000001</v>
      </c>
      <c r="G40">
        <v>199.81</v>
      </c>
      <c r="H40">
        <v>-64.239999999999995</v>
      </c>
      <c r="K40" t="s">
        <v>37</v>
      </c>
    </row>
    <row r="41" spans="3:11" x14ac:dyDescent="0.25">
      <c r="C41">
        <v>540</v>
      </c>
      <c r="D41">
        <v>29.74</v>
      </c>
      <c r="E41">
        <v>25.66</v>
      </c>
      <c r="F41">
        <f t="shared" si="0"/>
        <v>4.0799999999999983</v>
      </c>
      <c r="G41">
        <v>199.41</v>
      </c>
      <c r="H41">
        <v>-63.018333333333338</v>
      </c>
    </row>
    <row r="42" spans="3:11" x14ac:dyDescent="0.25">
      <c r="C42">
        <v>550</v>
      </c>
      <c r="D42">
        <v>30.56</v>
      </c>
      <c r="E42">
        <v>26.51</v>
      </c>
      <c r="F42">
        <f t="shared" si="0"/>
        <v>4.0499999999999972</v>
      </c>
      <c r="G42">
        <v>199.02</v>
      </c>
      <c r="H42">
        <v>-63.691666666666663</v>
      </c>
    </row>
    <row r="43" spans="3:11" x14ac:dyDescent="0.25">
      <c r="C43">
        <v>560</v>
      </c>
      <c r="D43">
        <v>31.38</v>
      </c>
      <c r="E43">
        <v>27.36</v>
      </c>
      <c r="F43">
        <f t="shared" si="0"/>
        <v>4.0199999999999996</v>
      </c>
      <c r="G43">
        <v>198.63</v>
      </c>
      <c r="H43">
        <v>-62.754999999999995</v>
      </c>
    </row>
    <row r="44" spans="3:11" x14ac:dyDescent="0.25">
      <c r="C44">
        <v>570</v>
      </c>
      <c r="D44">
        <v>32.19</v>
      </c>
      <c r="E44">
        <v>28.21</v>
      </c>
      <c r="F44">
        <f t="shared" si="0"/>
        <v>3.9799999999999969</v>
      </c>
      <c r="G44">
        <v>198.24</v>
      </c>
      <c r="H44">
        <v>-61.185000000000002</v>
      </c>
    </row>
    <row r="45" spans="3:11" x14ac:dyDescent="0.25">
      <c r="C45">
        <v>580</v>
      </c>
      <c r="D45">
        <v>33</v>
      </c>
      <c r="E45">
        <v>29.05</v>
      </c>
      <c r="F45">
        <f t="shared" si="0"/>
        <v>3.9499999999999993</v>
      </c>
      <c r="G45">
        <v>201.8</v>
      </c>
      <c r="H45">
        <v>-61.601666666666667</v>
      </c>
    </row>
    <row r="46" spans="3:11" x14ac:dyDescent="0.25">
      <c r="C46">
        <v>590</v>
      </c>
      <c r="D46">
        <v>33.79</v>
      </c>
      <c r="E46">
        <v>29.89</v>
      </c>
      <c r="F46">
        <f t="shared" si="0"/>
        <v>3.8999999999999986</v>
      </c>
      <c r="G46">
        <v>211.31</v>
      </c>
      <c r="H46">
        <v>-63.264999999999993</v>
      </c>
    </row>
    <row r="47" spans="3:11" x14ac:dyDescent="0.25">
      <c r="C47">
        <v>600</v>
      </c>
      <c r="D47">
        <v>34.590000000000003</v>
      </c>
      <c r="E47">
        <v>30.72</v>
      </c>
      <c r="F47">
        <f t="shared" si="0"/>
        <v>3.8700000000000045</v>
      </c>
      <c r="G47">
        <v>220.81</v>
      </c>
      <c r="H47">
        <v>-62.851666666666667</v>
      </c>
    </row>
    <row r="48" spans="3:11" x14ac:dyDescent="0.25">
      <c r="C48">
        <v>610</v>
      </c>
      <c r="D48">
        <v>35.369999999999997</v>
      </c>
      <c r="E48">
        <v>31.53</v>
      </c>
      <c r="F48">
        <f t="shared" si="0"/>
        <v>3.8399999999999963</v>
      </c>
      <c r="G48">
        <v>217.71</v>
      </c>
      <c r="H48">
        <v>-62.401666666666671</v>
      </c>
    </row>
    <row r="49" spans="3:8" x14ac:dyDescent="0.25">
      <c r="C49">
        <v>620</v>
      </c>
      <c r="D49">
        <v>36.159999999999997</v>
      </c>
      <c r="E49">
        <v>32.35</v>
      </c>
      <c r="F49">
        <f t="shared" si="0"/>
        <v>3.8099999999999952</v>
      </c>
      <c r="G49">
        <v>210.85</v>
      </c>
      <c r="H49">
        <v>-62.761666666666663</v>
      </c>
    </row>
    <row r="50" spans="3:8" x14ac:dyDescent="0.25">
      <c r="C50">
        <v>630</v>
      </c>
      <c r="D50">
        <v>36.94</v>
      </c>
      <c r="E50">
        <v>33.15</v>
      </c>
      <c r="F50">
        <f t="shared" si="0"/>
        <v>3.7899999999999991</v>
      </c>
      <c r="G50">
        <v>207.51</v>
      </c>
      <c r="H50">
        <v>-62.133333333333333</v>
      </c>
    </row>
    <row r="51" spans="3:8" x14ac:dyDescent="0.25">
      <c r="C51">
        <v>640</v>
      </c>
      <c r="D51">
        <v>37.71</v>
      </c>
      <c r="E51">
        <v>33.950000000000003</v>
      </c>
      <c r="F51">
        <f t="shared" si="0"/>
        <v>3.759999999999998</v>
      </c>
      <c r="G51">
        <v>208.66</v>
      </c>
      <c r="H51">
        <v>-62.343333333333334</v>
      </c>
    </row>
    <row r="52" spans="3:8" x14ac:dyDescent="0.25">
      <c r="C52">
        <v>650</v>
      </c>
      <c r="D52">
        <v>38.479999999999997</v>
      </c>
      <c r="E52">
        <v>34.74</v>
      </c>
      <c r="F52">
        <f t="shared" si="0"/>
        <v>3.7399999999999949</v>
      </c>
      <c r="G52">
        <v>209.82</v>
      </c>
      <c r="H52">
        <v>-62.311666666666667</v>
      </c>
    </row>
    <row r="53" spans="3:8" x14ac:dyDescent="0.25">
      <c r="C53">
        <v>660</v>
      </c>
      <c r="D53">
        <v>39.24</v>
      </c>
      <c r="E53">
        <v>35.520000000000003</v>
      </c>
      <c r="F53">
        <f t="shared" si="0"/>
        <v>3.7199999999999989</v>
      </c>
      <c r="G53">
        <v>209.48</v>
      </c>
      <c r="H53">
        <v>-60.76</v>
      </c>
    </row>
    <row r="54" spans="3:8" x14ac:dyDescent="0.25">
      <c r="C54">
        <v>670</v>
      </c>
      <c r="D54">
        <v>40.01</v>
      </c>
      <c r="E54">
        <v>36.299999999999997</v>
      </c>
      <c r="F54">
        <f t="shared" si="0"/>
        <v>3.7100000000000009</v>
      </c>
      <c r="G54">
        <v>208.87</v>
      </c>
      <c r="H54">
        <v>-61.745000000000005</v>
      </c>
    </row>
    <row r="55" spans="3:8" x14ac:dyDescent="0.25">
      <c r="C55">
        <v>680</v>
      </c>
      <c r="D55">
        <v>40.770000000000003</v>
      </c>
      <c r="E55">
        <v>37.08</v>
      </c>
      <c r="F55">
        <f t="shared" si="0"/>
        <v>3.6900000000000048</v>
      </c>
      <c r="G55">
        <v>208.25</v>
      </c>
      <c r="H55">
        <v>-61.448333333333331</v>
      </c>
    </row>
    <row r="56" spans="3:8" x14ac:dyDescent="0.25">
      <c r="C56">
        <v>690</v>
      </c>
      <c r="D56">
        <v>41.53</v>
      </c>
      <c r="E56">
        <v>37.86</v>
      </c>
      <c r="F56">
        <f t="shared" si="0"/>
        <v>3.6700000000000017</v>
      </c>
      <c r="G56">
        <v>207.63</v>
      </c>
      <c r="H56">
        <v>-62.96</v>
      </c>
    </row>
    <row r="57" spans="3:8" x14ac:dyDescent="0.25">
      <c r="C57">
        <v>700</v>
      </c>
      <c r="D57">
        <v>42.3</v>
      </c>
      <c r="E57">
        <v>38.64</v>
      </c>
      <c r="F57">
        <f t="shared" si="0"/>
        <v>3.6599999999999966</v>
      </c>
      <c r="G57">
        <v>207.02</v>
      </c>
      <c r="H57">
        <v>-62.705000000000005</v>
      </c>
    </row>
    <row r="58" spans="3:8" x14ac:dyDescent="0.25">
      <c r="C58">
        <v>710</v>
      </c>
      <c r="D58">
        <v>43.06</v>
      </c>
      <c r="E58">
        <v>39.4</v>
      </c>
      <c r="F58">
        <f t="shared" si="0"/>
        <v>3.6600000000000037</v>
      </c>
      <c r="G58">
        <v>201.24</v>
      </c>
      <c r="H58">
        <v>-63.04666666666666</v>
      </c>
    </row>
    <row r="59" spans="3:8" x14ac:dyDescent="0.25">
      <c r="C59">
        <v>720</v>
      </c>
      <c r="D59">
        <v>43.82</v>
      </c>
      <c r="E59">
        <v>40.159999999999997</v>
      </c>
      <c r="F59">
        <f t="shared" si="0"/>
        <v>3.6600000000000037</v>
      </c>
      <c r="G59">
        <v>195.3</v>
      </c>
      <c r="H59">
        <v>-62.741666666666667</v>
      </c>
    </row>
    <row r="60" spans="3:8" x14ac:dyDescent="0.25">
      <c r="C60">
        <v>730</v>
      </c>
      <c r="D60">
        <v>44.58</v>
      </c>
      <c r="E60">
        <v>40.92</v>
      </c>
      <c r="F60">
        <f t="shared" si="0"/>
        <v>3.6599999999999966</v>
      </c>
      <c r="G60">
        <v>189.37</v>
      </c>
      <c r="H60">
        <v>-62.493333333333332</v>
      </c>
    </row>
    <row r="61" spans="3:8" x14ac:dyDescent="0.25">
      <c r="C61">
        <v>740</v>
      </c>
      <c r="D61">
        <v>45.34</v>
      </c>
      <c r="E61">
        <v>41.68</v>
      </c>
      <c r="F61">
        <f t="shared" si="0"/>
        <v>3.6600000000000037</v>
      </c>
      <c r="G61">
        <v>183.43</v>
      </c>
      <c r="H61">
        <v>-61.955000000000005</v>
      </c>
    </row>
    <row r="62" spans="3:8" x14ac:dyDescent="0.25">
      <c r="C62">
        <v>750</v>
      </c>
      <c r="D62">
        <v>46.1</v>
      </c>
      <c r="E62">
        <v>42.44</v>
      </c>
      <c r="F62">
        <f t="shared" si="0"/>
        <v>3.6600000000000037</v>
      </c>
      <c r="G62">
        <v>179.86</v>
      </c>
      <c r="H62">
        <v>-61.783333333333331</v>
      </c>
    </row>
    <row r="63" spans="3:8" x14ac:dyDescent="0.25">
      <c r="C63">
        <v>760</v>
      </c>
      <c r="D63">
        <v>46.85</v>
      </c>
      <c r="E63">
        <v>43.2</v>
      </c>
      <c r="F63">
        <f t="shared" si="0"/>
        <v>3.6499999999999986</v>
      </c>
      <c r="G63">
        <v>187.85</v>
      </c>
      <c r="H63">
        <v>-61.501666666666665</v>
      </c>
    </row>
    <row r="64" spans="3:8" x14ac:dyDescent="0.25">
      <c r="C64">
        <v>770</v>
      </c>
      <c r="D64">
        <v>47.61</v>
      </c>
      <c r="E64">
        <v>43.96</v>
      </c>
      <c r="F64">
        <f t="shared" si="0"/>
        <v>3.6499999999999986</v>
      </c>
      <c r="G64">
        <v>195.84</v>
      </c>
      <c r="H64">
        <v>-61.876666666666665</v>
      </c>
    </row>
    <row r="65" spans="3:8" x14ac:dyDescent="0.25">
      <c r="C65">
        <v>780</v>
      </c>
      <c r="D65">
        <v>48.36</v>
      </c>
      <c r="E65">
        <v>44.71</v>
      </c>
      <c r="F65">
        <f t="shared" si="0"/>
        <v>3.6499999999999986</v>
      </c>
      <c r="G65">
        <v>201.49</v>
      </c>
      <c r="H65">
        <v>-61.4</v>
      </c>
    </row>
    <row r="66" spans="3:8" x14ac:dyDescent="0.25">
      <c r="C66">
        <v>790</v>
      </c>
      <c r="D66">
        <v>49.1</v>
      </c>
      <c r="E66">
        <v>45.47</v>
      </c>
      <c r="F66">
        <f t="shared" si="0"/>
        <v>3.6300000000000026</v>
      </c>
      <c r="G66">
        <v>204.6</v>
      </c>
      <c r="H66">
        <v>-62.043333333333329</v>
      </c>
    </row>
    <row r="67" spans="3:8" x14ac:dyDescent="0.25">
      <c r="C67">
        <v>800</v>
      </c>
      <c r="D67">
        <v>49.85</v>
      </c>
      <c r="E67">
        <v>46.22</v>
      </c>
      <c r="F67">
        <f t="shared" ref="F67:F130" si="1">D67-E67</f>
        <v>3.6300000000000026</v>
      </c>
      <c r="G67">
        <v>207.7</v>
      </c>
      <c r="H67">
        <v>-61.31</v>
      </c>
    </row>
    <row r="68" spans="3:8" x14ac:dyDescent="0.25">
      <c r="C68">
        <v>810</v>
      </c>
      <c r="D68">
        <v>50.6</v>
      </c>
      <c r="E68">
        <v>46.97</v>
      </c>
      <c r="F68">
        <f t="shared" si="1"/>
        <v>3.6300000000000026</v>
      </c>
      <c r="G68">
        <v>206.42</v>
      </c>
      <c r="H68">
        <v>-62.763333333333328</v>
      </c>
    </row>
    <row r="69" spans="3:8" x14ac:dyDescent="0.25">
      <c r="C69">
        <v>820</v>
      </c>
      <c r="D69">
        <v>51.34</v>
      </c>
      <c r="E69">
        <v>47.72</v>
      </c>
      <c r="F69">
        <f t="shared" si="1"/>
        <v>3.6200000000000045</v>
      </c>
      <c r="G69">
        <v>205.15</v>
      </c>
      <c r="H69">
        <v>-62.305</v>
      </c>
    </row>
    <row r="70" spans="3:8" x14ac:dyDescent="0.25">
      <c r="C70">
        <v>830</v>
      </c>
      <c r="D70">
        <v>52.09</v>
      </c>
      <c r="E70">
        <v>48.47</v>
      </c>
      <c r="F70">
        <f t="shared" si="1"/>
        <v>3.6200000000000045</v>
      </c>
      <c r="G70">
        <v>203.87</v>
      </c>
      <c r="H70">
        <v>-60.961666666666666</v>
      </c>
    </row>
    <row r="71" spans="3:8" x14ac:dyDescent="0.25">
      <c r="C71">
        <v>840</v>
      </c>
      <c r="D71">
        <v>52.84</v>
      </c>
      <c r="E71">
        <v>49.21</v>
      </c>
      <c r="F71">
        <f t="shared" si="1"/>
        <v>3.6300000000000026</v>
      </c>
      <c r="G71">
        <v>202.6</v>
      </c>
      <c r="H71">
        <v>-60.186666666666667</v>
      </c>
    </row>
    <row r="72" spans="3:8" x14ac:dyDescent="0.25">
      <c r="C72">
        <v>850</v>
      </c>
      <c r="D72">
        <v>53.58</v>
      </c>
      <c r="E72">
        <v>49.96</v>
      </c>
      <c r="F72">
        <f t="shared" si="1"/>
        <v>3.6199999999999974</v>
      </c>
      <c r="G72">
        <v>201.32</v>
      </c>
      <c r="H72">
        <v>-59.526666666666671</v>
      </c>
    </row>
    <row r="73" spans="3:8" x14ac:dyDescent="0.25">
      <c r="C73">
        <v>860</v>
      </c>
      <c r="D73">
        <v>54.35</v>
      </c>
      <c r="E73">
        <v>50.71</v>
      </c>
      <c r="F73">
        <f t="shared" si="1"/>
        <v>3.6400000000000006</v>
      </c>
      <c r="G73">
        <v>201</v>
      </c>
      <c r="H73">
        <v>-60.72</v>
      </c>
    </row>
    <row r="74" spans="3:8" x14ac:dyDescent="0.25">
      <c r="C74">
        <v>870</v>
      </c>
      <c r="D74">
        <v>55.12</v>
      </c>
      <c r="E74">
        <v>51.45</v>
      </c>
      <c r="F74">
        <f t="shared" si="1"/>
        <v>3.6699999999999946</v>
      </c>
      <c r="G74">
        <v>201</v>
      </c>
      <c r="H74">
        <v>-61.49666666666667</v>
      </c>
    </row>
    <row r="75" spans="3:8" x14ac:dyDescent="0.25">
      <c r="C75">
        <v>880</v>
      </c>
      <c r="D75">
        <v>55.9</v>
      </c>
      <c r="E75">
        <v>52.2</v>
      </c>
      <c r="F75">
        <f t="shared" si="1"/>
        <v>3.6999999999999957</v>
      </c>
      <c r="G75">
        <v>204.78</v>
      </c>
      <c r="H75">
        <v>-61.37833333333333</v>
      </c>
    </row>
    <row r="76" spans="3:8" x14ac:dyDescent="0.25">
      <c r="C76">
        <v>890</v>
      </c>
      <c r="D76">
        <v>56.69</v>
      </c>
      <c r="E76">
        <v>52.95</v>
      </c>
      <c r="F76">
        <f t="shared" si="1"/>
        <v>3.7399999999999949</v>
      </c>
      <c r="G76">
        <v>211.41</v>
      </c>
      <c r="H76">
        <v>-62.32</v>
      </c>
    </row>
    <row r="77" spans="3:8" x14ac:dyDescent="0.25">
      <c r="C77">
        <v>900</v>
      </c>
      <c r="D77">
        <v>57.49</v>
      </c>
      <c r="E77">
        <v>53.7</v>
      </c>
      <c r="F77">
        <f t="shared" si="1"/>
        <v>3.7899999999999991</v>
      </c>
      <c r="G77">
        <v>218.04</v>
      </c>
      <c r="H77">
        <v>-62.981666666666662</v>
      </c>
    </row>
    <row r="78" spans="3:8" x14ac:dyDescent="0.25">
      <c r="C78">
        <v>910</v>
      </c>
      <c r="D78">
        <v>58.3</v>
      </c>
      <c r="E78">
        <v>54.47</v>
      </c>
      <c r="F78">
        <f t="shared" si="1"/>
        <v>3.8299999999999983</v>
      </c>
      <c r="G78">
        <v>217.91</v>
      </c>
      <c r="H78">
        <v>-63.588333333333331</v>
      </c>
    </row>
    <row r="79" spans="3:8" x14ac:dyDescent="0.25">
      <c r="C79">
        <v>920</v>
      </c>
      <c r="D79">
        <v>59.11</v>
      </c>
      <c r="E79">
        <v>55.25</v>
      </c>
      <c r="F79">
        <f t="shared" si="1"/>
        <v>3.8599999999999994</v>
      </c>
      <c r="G79">
        <v>215.88</v>
      </c>
      <c r="H79">
        <v>-62.32833333333334</v>
      </c>
    </row>
    <row r="80" spans="3:8" x14ac:dyDescent="0.25">
      <c r="C80">
        <v>930</v>
      </c>
      <c r="D80">
        <v>59.94</v>
      </c>
      <c r="E80">
        <v>56.04</v>
      </c>
      <c r="F80">
        <f t="shared" si="1"/>
        <v>3.8999999999999986</v>
      </c>
      <c r="G80">
        <v>213.48</v>
      </c>
      <c r="H80">
        <v>-63.856666666666662</v>
      </c>
    </row>
    <row r="81" spans="3:8" x14ac:dyDescent="0.25">
      <c r="C81">
        <v>940</v>
      </c>
      <c r="D81">
        <v>60.78</v>
      </c>
      <c r="E81">
        <v>56.84</v>
      </c>
      <c r="F81">
        <f t="shared" si="1"/>
        <v>3.9399999999999977</v>
      </c>
      <c r="G81">
        <v>210.29</v>
      </c>
      <c r="H81">
        <v>-64.101666666666674</v>
      </c>
    </row>
    <row r="82" spans="3:8" x14ac:dyDescent="0.25">
      <c r="C82">
        <v>950</v>
      </c>
      <c r="D82">
        <v>61.63</v>
      </c>
      <c r="E82">
        <v>57.65</v>
      </c>
      <c r="F82">
        <f t="shared" si="1"/>
        <v>3.980000000000004</v>
      </c>
      <c r="G82">
        <v>207.11</v>
      </c>
      <c r="H82">
        <v>-64.421666666666667</v>
      </c>
    </row>
    <row r="83" spans="3:8" x14ac:dyDescent="0.25">
      <c r="C83">
        <v>960</v>
      </c>
      <c r="D83">
        <v>62.5</v>
      </c>
      <c r="E83">
        <v>58.47</v>
      </c>
      <c r="F83">
        <f t="shared" si="1"/>
        <v>4.0300000000000011</v>
      </c>
      <c r="G83">
        <v>204.63</v>
      </c>
      <c r="H83">
        <v>-63.455000000000005</v>
      </c>
    </row>
    <row r="84" spans="3:8" x14ac:dyDescent="0.25">
      <c r="C84">
        <v>970</v>
      </c>
      <c r="D84">
        <v>63.38</v>
      </c>
      <c r="E84">
        <v>59.3</v>
      </c>
      <c r="F84">
        <f t="shared" si="1"/>
        <v>4.0800000000000054</v>
      </c>
      <c r="G84">
        <v>202.32</v>
      </c>
      <c r="H84">
        <v>-63.751666666666665</v>
      </c>
    </row>
    <row r="85" spans="3:8" x14ac:dyDescent="0.25">
      <c r="C85">
        <v>980</v>
      </c>
      <c r="D85">
        <v>64.260000000000005</v>
      </c>
      <c r="E85">
        <v>60.14</v>
      </c>
      <c r="F85">
        <f t="shared" si="1"/>
        <v>4.1200000000000045</v>
      </c>
      <c r="G85">
        <v>199.56</v>
      </c>
      <c r="H85">
        <v>-62.104999999999997</v>
      </c>
    </row>
    <row r="86" spans="3:8" x14ac:dyDescent="0.25">
      <c r="C86">
        <v>990</v>
      </c>
      <c r="D86">
        <v>65.13</v>
      </c>
      <c r="E86">
        <v>61</v>
      </c>
      <c r="F86">
        <f t="shared" si="1"/>
        <v>4.1299999999999955</v>
      </c>
      <c r="G86">
        <v>196.2</v>
      </c>
      <c r="H86">
        <v>-62.830000000000005</v>
      </c>
    </row>
    <row r="87" spans="3:8" x14ac:dyDescent="0.25">
      <c r="C87">
        <v>1000</v>
      </c>
      <c r="D87">
        <v>66.010000000000005</v>
      </c>
      <c r="E87">
        <v>61.86</v>
      </c>
      <c r="F87">
        <f t="shared" si="1"/>
        <v>4.1500000000000057</v>
      </c>
      <c r="G87">
        <v>192.84</v>
      </c>
      <c r="H87">
        <v>-62.733333333333327</v>
      </c>
    </row>
    <row r="88" spans="3:8" x14ac:dyDescent="0.25">
      <c r="C88">
        <v>1010</v>
      </c>
      <c r="D88">
        <v>66.88</v>
      </c>
      <c r="E88">
        <v>62.75</v>
      </c>
      <c r="F88">
        <f t="shared" si="1"/>
        <v>4.1299999999999955</v>
      </c>
      <c r="G88">
        <v>192.36</v>
      </c>
      <c r="H88">
        <v>-61.826666666666661</v>
      </c>
    </row>
    <row r="89" spans="3:8" x14ac:dyDescent="0.25">
      <c r="C89">
        <v>1020</v>
      </c>
      <c r="D89">
        <v>67.739999999999995</v>
      </c>
      <c r="E89">
        <v>63.65</v>
      </c>
      <c r="F89">
        <f t="shared" si="1"/>
        <v>4.0899999999999963</v>
      </c>
      <c r="G89">
        <v>192.83</v>
      </c>
      <c r="H89">
        <v>-62.771666666666668</v>
      </c>
    </row>
    <row r="90" spans="3:8" x14ac:dyDescent="0.25">
      <c r="C90">
        <v>1030</v>
      </c>
      <c r="D90">
        <v>68.59</v>
      </c>
      <c r="E90">
        <v>64.540000000000006</v>
      </c>
      <c r="F90">
        <f t="shared" si="1"/>
        <v>4.0499999999999972</v>
      </c>
      <c r="G90">
        <v>195.81</v>
      </c>
      <c r="H90">
        <v>-63.108333333333327</v>
      </c>
    </row>
    <row r="91" spans="3:8" x14ac:dyDescent="0.25">
      <c r="C91">
        <v>1040</v>
      </c>
      <c r="D91">
        <v>69.430000000000007</v>
      </c>
      <c r="E91">
        <v>65.430000000000007</v>
      </c>
      <c r="F91">
        <f t="shared" si="1"/>
        <v>4</v>
      </c>
      <c r="G91">
        <v>200.14</v>
      </c>
      <c r="H91">
        <v>-62.96</v>
      </c>
    </row>
    <row r="92" spans="3:8" x14ac:dyDescent="0.25">
      <c r="C92">
        <v>1050</v>
      </c>
      <c r="D92">
        <v>70.27</v>
      </c>
      <c r="E92">
        <v>66.33</v>
      </c>
      <c r="F92">
        <f t="shared" si="1"/>
        <v>3.9399999999999977</v>
      </c>
      <c r="G92">
        <v>204.46</v>
      </c>
      <c r="H92">
        <v>-61.705000000000005</v>
      </c>
    </row>
    <row r="93" spans="3:8" x14ac:dyDescent="0.25">
      <c r="C93">
        <v>1060</v>
      </c>
      <c r="D93">
        <v>71.099999999999994</v>
      </c>
      <c r="E93">
        <v>67.2</v>
      </c>
      <c r="F93">
        <f t="shared" si="1"/>
        <v>3.8999999999999915</v>
      </c>
      <c r="G93">
        <v>212.63</v>
      </c>
      <c r="H93">
        <v>-60.358333333333327</v>
      </c>
    </row>
    <row r="94" spans="3:8" x14ac:dyDescent="0.25">
      <c r="C94">
        <v>1070</v>
      </c>
      <c r="D94">
        <v>71.930000000000007</v>
      </c>
      <c r="E94">
        <v>68.069999999999993</v>
      </c>
      <c r="F94">
        <f t="shared" si="1"/>
        <v>3.8600000000000136</v>
      </c>
      <c r="G94">
        <v>222</v>
      </c>
      <c r="H94">
        <v>-61.568333333333335</v>
      </c>
    </row>
    <row r="95" spans="3:8" x14ac:dyDescent="0.25">
      <c r="C95">
        <v>1080</v>
      </c>
      <c r="D95">
        <v>72.75</v>
      </c>
      <c r="E95">
        <v>68.94</v>
      </c>
      <c r="F95">
        <f t="shared" si="1"/>
        <v>3.8100000000000023</v>
      </c>
      <c r="G95">
        <v>229.73</v>
      </c>
      <c r="H95">
        <v>-63.236666666666672</v>
      </c>
    </row>
    <row r="96" spans="3:8" x14ac:dyDescent="0.25">
      <c r="C96">
        <v>1090</v>
      </c>
      <c r="D96">
        <v>73.569999999999993</v>
      </c>
      <c r="E96">
        <v>69.790000000000006</v>
      </c>
      <c r="F96">
        <f t="shared" si="1"/>
        <v>3.7799999999999869</v>
      </c>
      <c r="G96">
        <v>235.93</v>
      </c>
      <c r="H96">
        <v>-61.723333333333329</v>
      </c>
    </row>
    <row r="97" spans="3:8" x14ac:dyDescent="0.25">
      <c r="C97">
        <v>1100</v>
      </c>
      <c r="D97">
        <v>74.39</v>
      </c>
      <c r="E97">
        <v>70.650000000000006</v>
      </c>
      <c r="F97">
        <f t="shared" si="1"/>
        <v>3.7399999999999949</v>
      </c>
      <c r="G97">
        <v>242.13</v>
      </c>
      <c r="H97">
        <v>-62.46</v>
      </c>
    </row>
    <row r="98" spans="3:8" x14ac:dyDescent="0.25">
      <c r="C98">
        <v>1110</v>
      </c>
      <c r="D98">
        <v>75.19</v>
      </c>
      <c r="E98">
        <v>71.489999999999995</v>
      </c>
      <c r="F98">
        <f t="shared" si="1"/>
        <v>3.7000000000000028</v>
      </c>
      <c r="G98">
        <v>239.98</v>
      </c>
      <c r="H98">
        <v>-61.536666666666669</v>
      </c>
    </row>
    <row r="99" spans="3:8" x14ac:dyDescent="0.25">
      <c r="C99">
        <v>1120</v>
      </c>
      <c r="D99">
        <v>75.989999999999995</v>
      </c>
      <c r="E99">
        <v>72.34</v>
      </c>
      <c r="F99">
        <f t="shared" si="1"/>
        <v>3.6499999999999915</v>
      </c>
      <c r="G99">
        <v>236.47</v>
      </c>
      <c r="H99">
        <v>-60.063333333333333</v>
      </c>
    </row>
    <row r="100" spans="3:8" x14ac:dyDescent="0.25">
      <c r="C100">
        <v>1130</v>
      </c>
      <c r="D100">
        <v>76.790000000000006</v>
      </c>
      <c r="E100">
        <v>73.17</v>
      </c>
      <c r="F100">
        <f t="shared" si="1"/>
        <v>3.6200000000000045</v>
      </c>
      <c r="G100">
        <v>233.93</v>
      </c>
      <c r="H100">
        <v>-59.783333333333331</v>
      </c>
    </row>
    <row r="101" spans="3:8" x14ac:dyDescent="0.25">
      <c r="C101">
        <v>1140</v>
      </c>
      <c r="D101">
        <v>77.58</v>
      </c>
      <c r="E101">
        <v>74</v>
      </c>
      <c r="F101">
        <f t="shared" si="1"/>
        <v>3.5799999999999983</v>
      </c>
      <c r="G101">
        <v>232.1</v>
      </c>
      <c r="H101">
        <v>-59.123333333333335</v>
      </c>
    </row>
    <row r="102" spans="3:8" x14ac:dyDescent="0.25">
      <c r="C102">
        <v>1150</v>
      </c>
      <c r="D102">
        <v>78.37</v>
      </c>
      <c r="E102">
        <v>74.83</v>
      </c>
      <c r="F102">
        <f t="shared" si="1"/>
        <v>3.5400000000000063</v>
      </c>
      <c r="G102">
        <v>229.95</v>
      </c>
      <c r="H102">
        <v>-59.976666666666667</v>
      </c>
    </row>
    <row r="103" spans="3:8" x14ac:dyDescent="0.25">
      <c r="C103">
        <v>1160</v>
      </c>
      <c r="D103">
        <v>79.150000000000006</v>
      </c>
      <c r="E103">
        <v>75.64</v>
      </c>
      <c r="F103">
        <f t="shared" si="1"/>
        <v>3.5100000000000051</v>
      </c>
      <c r="G103">
        <v>225.77</v>
      </c>
      <c r="H103">
        <v>-59.195</v>
      </c>
    </row>
    <row r="104" spans="3:8" x14ac:dyDescent="0.25">
      <c r="C104">
        <v>1170</v>
      </c>
      <c r="D104">
        <v>79.930000000000007</v>
      </c>
      <c r="E104">
        <v>76.45</v>
      </c>
      <c r="F104">
        <f t="shared" si="1"/>
        <v>3.480000000000004</v>
      </c>
      <c r="G104">
        <v>221.59</v>
      </c>
      <c r="H104">
        <v>-59.98</v>
      </c>
    </row>
    <row r="105" spans="3:8" x14ac:dyDescent="0.25">
      <c r="C105">
        <v>1180</v>
      </c>
      <c r="D105">
        <v>80.7</v>
      </c>
      <c r="E105">
        <v>77.260000000000005</v>
      </c>
      <c r="F105">
        <f t="shared" si="1"/>
        <v>3.4399999999999977</v>
      </c>
      <c r="G105">
        <v>219.8</v>
      </c>
      <c r="H105">
        <v>-59.241666666666667</v>
      </c>
    </row>
    <row r="106" spans="3:8" x14ac:dyDescent="0.25">
      <c r="C106">
        <v>1190</v>
      </c>
      <c r="D106">
        <v>81.47</v>
      </c>
      <c r="E106">
        <v>78.06</v>
      </c>
      <c r="F106">
        <f t="shared" si="1"/>
        <v>3.4099999999999966</v>
      </c>
      <c r="G106">
        <v>220.39</v>
      </c>
      <c r="H106">
        <v>-58.139999999999993</v>
      </c>
    </row>
    <row r="107" spans="3:8" x14ac:dyDescent="0.25">
      <c r="C107">
        <v>1200</v>
      </c>
      <c r="D107">
        <v>82.24</v>
      </c>
      <c r="E107">
        <v>78.849999999999994</v>
      </c>
      <c r="F107">
        <f t="shared" si="1"/>
        <v>3.3900000000000006</v>
      </c>
      <c r="G107">
        <v>220.98</v>
      </c>
      <c r="H107">
        <v>-59.055</v>
      </c>
    </row>
    <row r="108" spans="3:8" x14ac:dyDescent="0.25">
      <c r="C108">
        <v>1210</v>
      </c>
      <c r="D108">
        <v>83.01</v>
      </c>
      <c r="E108">
        <v>79.650000000000006</v>
      </c>
      <c r="F108">
        <f t="shared" si="1"/>
        <v>3.3599999999999994</v>
      </c>
      <c r="G108">
        <v>221.57</v>
      </c>
      <c r="H108">
        <v>-59.768333333333338</v>
      </c>
    </row>
    <row r="109" spans="3:8" x14ac:dyDescent="0.25">
      <c r="C109">
        <v>1220</v>
      </c>
      <c r="D109">
        <v>83.78</v>
      </c>
      <c r="E109">
        <v>80.45</v>
      </c>
      <c r="F109">
        <f t="shared" si="1"/>
        <v>3.3299999999999983</v>
      </c>
      <c r="G109">
        <v>222.16</v>
      </c>
      <c r="H109">
        <v>-60.233333333333327</v>
      </c>
    </row>
    <row r="110" spans="3:8" x14ac:dyDescent="0.25">
      <c r="C110">
        <v>1230</v>
      </c>
      <c r="D110">
        <v>84.55</v>
      </c>
      <c r="E110">
        <v>81.22</v>
      </c>
      <c r="F110">
        <f t="shared" si="1"/>
        <v>3.3299999999999983</v>
      </c>
      <c r="G110">
        <v>224.42</v>
      </c>
      <c r="H110">
        <v>-60.298333333333339</v>
      </c>
    </row>
    <row r="111" spans="3:8" x14ac:dyDescent="0.25">
      <c r="C111">
        <v>1240</v>
      </c>
      <c r="D111">
        <v>85.33</v>
      </c>
      <c r="E111">
        <v>81.96</v>
      </c>
      <c r="F111">
        <f t="shared" si="1"/>
        <v>3.3700000000000045</v>
      </c>
      <c r="G111">
        <v>228.88</v>
      </c>
      <c r="H111">
        <v>-59.858333333333327</v>
      </c>
    </row>
    <row r="112" spans="3:8" x14ac:dyDescent="0.25">
      <c r="C112">
        <v>1250</v>
      </c>
      <c r="D112">
        <v>86.1</v>
      </c>
      <c r="E112">
        <v>82.71</v>
      </c>
      <c r="F112">
        <f t="shared" si="1"/>
        <v>3.3900000000000006</v>
      </c>
      <c r="G112">
        <v>233.33</v>
      </c>
      <c r="H112">
        <v>-61.16</v>
      </c>
    </row>
    <row r="113" spans="3:8" x14ac:dyDescent="0.25">
      <c r="C113">
        <v>1260</v>
      </c>
      <c r="D113">
        <v>86.88</v>
      </c>
      <c r="E113">
        <v>83.52</v>
      </c>
      <c r="F113">
        <f t="shared" si="1"/>
        <v>3.3599999999999994</v>
      </c>
      <c r="G113">
        <v>228.31</v>
      </c>
      <c r="H113">
        <v>-62.12166666666667</v>
      </c>
    </row>
    <row r="114" spans="3:8" x14ac:dyDescent="0.25">
      <c r="C114">
        <v>1270</v>
      </c>
      <c r="D114">
        <v>87.65</v>
      </c>
      <c r="E114">
        <v>84.35</v>
      </c>
      <c r="F114">
        <f t="shared" si="1"/>
        <v>3.3000000000000114</v>
      </c>
      <c r="G114">
        <v>221.61</v>
      </c>
      <c r="H114">
        <v>-61.824999999999996</v>
      </c>
    </row>
    <row r="115" spans="3:8" x14ac:dyDescent="0.25">
      <c r="C115">
        <v>1280</v>
      </c>
      <c r="D115">
        <v>88.43</v>
      </c>
      <c r="E115">
        <v>85.16</v>
      </c>
      <c r="F115">
        <f t="shared" si="1"/>
        <v>3.2700000000000102</v>
      </c>
      <c r="G115">
        <v>216.76</v>
      </c>
      <c r="H115">
        <v>-60.54666666666666</v>
      </c>
    </row>
    <row r="116" spans="3:8" x14ac:dyDescent="0.25">
      <c r="C116">
        <v>1290</v>
      </c>
      <c r="D116">
        <v>89.21</v>
      </c>
      <c r="E116">
        <v>85.95</v>
      </c>
      <c r="F116">
        <f t="shared" si="1"/>
        <v>3.2599999999999909</v>
      </c>
      <c r="G116">
        <v>213.26</v>
      </c>
      <c r="H116">
        <v>-61.398333333333333</v>
      </c>
    </row>
    <row r="117" spans="3:8" x14ac:dyDescent="0.25">
      <c r="C117">
        <v>1300</v>
      </c>
      <c r="D117">
        <v>89.99</v>
      </c>
      <c r="E117">
        <v>86.74</v>
      </c>
      <c r="F117">
        <f t="shared" si="1"/>
        <v>3.25</v>
      </c>
      <c r="G117">
        <v>210.35</v>
      </c>
      <c r="H117">
        <v>-60.695</v>
      </c>
    </row>
    <row r="118" spans="3:8" x14ac:dyDescent="0.25">
      <c r="C118">
        <v>1310</v>
      </c>
      <c r="D118">
        <v>90.78</v>
      </c>
      <c r="E118">
        <v>87.53</v>
      </c>
      <c r="F118">
        <f t="shared" si="1"/>
        <v>3.25</v>
      </c>
      <c r="G118">
        <v>215.3</v>
      </c>
      <c r="H118">
        <v>-59.62833333333333</v>
      </c>
    </row>
    <row r="119" spans="3:8" x14ac:dyDescent="0.25">
      <c r="C119">
        <v>1320</v>
      </c>
      <c r="D119">
        <v>91.56</v>
      </c>
      <c r="E119">
        <v>88.32</v>
      </c>
      <c r="F119">
        <f t="shared" si="1"/>
        <v>3.2400000000000091</v>
      </c>
      <c r="G119">
        <v>220.26</v>
      </c>
      <c r="H119">
        <v>-60.733333333333327</v>
      </c>
    </row>
    <row r="120" spans="3:8" x14ac:dyDescent="0.25">
      <c r="C120">
        <v>1330</v>
      </c>
      <c r="D120">
        <v>92.35</v>
      </c>
      <c r="E120">
        <v>89.12</v>
      </c>
      <c r="F120">
        <f t="shared" si="1"/>
        <v>3.2299999999999898</v>
      </c>
      <c r="G120">
        <v>222.77</v>
      </c>
      <c r="H120">
        <v>-60.473333333333329</v>
      </c>
    </row>
    <row r="121" spans="3:8" x14ac:dyDescent="0.25">
      <c r="C121">
        <v>1340</v>
      </c>
      <c r="D121">
        <v>93.15</v>
      </c>
      <c r="E121">
        <v>89.91</v>
      </c>
      <c r="F121">
        <f t="shared" si="1"/>
        <v>3.2400000000000091</v>
      </c>
      <c r="G121">
        <v>224.47</v>
      </c>
      <c r="H121">
        <v>-59.928333333333335</v>
      </c>
    </row>
    <row r="122" spans="3:8" x14ac:dyDescent="0.25">
      <c r="C122">
        <v>1350</v>
      </c>
      <c r="D122">
        <v>93.94</v>
      </c>
      <c r="E122">
        <v>90.71</v>
      </c>
      <c r="F122">
        <f t="shared" si="1"/>
        <v>3.230000000000004</v>
      </c>
      <c r="G122">
        <v>226.31</v>
      </c>
      <c r="H122">
        <v>-60.245000000000005</v>
      </c>
    </row>
    <row r="123" spans="3:8" x14ac:dyDescent="0.25">
      <c r="C123">
        <v>1360</v>
      </c>
      <c r="D123">
        <v>94.73</v>
      </c>
      <c r="E123">
        <v>91.51</v>
      </c>
      <c r="F123">
        <f t="shared" si="1"/>
        <v>3.2199999999999989</v>
      </c>
      <c r="G123">
        <v>229.41</v>
      </c>
      <c r="H123">
        <v>-60.833333333333336</v>
      </c>
    </row>
    <row r="124" spans="3:8" x14ac:dyDescent="0.25">
      <c r="C124">
        <v>1370</v>
      </c>
      <c r="D124">
        <v>95.53</v>
      </c>
      <c r="E124">
        <v>92.31</v>
      </c>
      <c r="F124">
        <f t="shared" si="1"/>
        <v>3.2199999999999989</v>
      </c>
      <c r="G124">
        <v>232.51</v>
      </c>
      <c r="H124">
        <v>-60.57</v>
      </c>
    </row>
    <row r="125" spans="3:8" x14ac:dyDescent="0.25">
      <c r="C125">
        <v>1380</v>
      </c>
      <c r="D125">
        <v>96.33</v>
      </c>
      <c r="E125">
        <v>93.12</v>
      </c>
      <c r="F125">
        <f t="shared" si="1"/>
        <v>3.2099999999999937</v>
      </c>
      <c r="G125">
        <v>232.59</v>
      </c>
      <c r="H125">
        <v>-59.615000000000002</v>
      </c>
    </row>
    <row r="126" spans="3:8" x14ac:dyDescent="0.25">
      <c r="C126">
        <v>1390</v>
      </c>
      <c r="D126">
        <v>97.13</v>
      </c>
      <c r="E126">
        <v>93.93</v>
      </c>
      <c r="F126">
        <f t="shared" si="1"/>
        <v>3.1999999999999886</v>
      </c>
      <c r="G126">
        <v>229.88</v>
      </c>
      <c r="H126">
        <v>-59.805</v>
      </c>
    </row>
    <row r="127" spans="3:8" x14ac:dyDescent="0.25">
      <c r="C127">
        <v>1400</v>
      </c>
      <c r="D127">
        <v>97.93</v>
      </c>
      <c r="E127">
        <v>94.74</v>
      </c>
      <c r="F127">
        <f t="shared" si="1"/>
        <v>3.1900000000000119</v>
      </c>
      <c r="G127">
        <v>227.18</v>
      </c>
      <c r="H127">
        <v>-59.74666666666667</v>
      </c>
    </row>
    <row r="128" spans="3:8" x14ac:dyDescent="0.25">
      <c r="C128">
        <v>1410</v>
      </c>
      <c r="D128">
        <v>98.74</v>
      </c>
      <c r="E128">
        <v>95.55</v>
      </c>
      <c r="F128">
        <f t="shared" si="1"/>
        <v>3.1899999999999977</v>
      </c>
      <c r="G128">
        <v>229.6</v>
      </c>
      <c r="H128">
        <v>-59.361666666666672</v>
      </c>
    </row>
    <row r="129" spans="3:8" x14ac:dyDescent="0.25">
      <c r="C129">
        <v>1420</v>
      </c>
      <c r="D129">
        <v>99.55</v>
      </c>
      <c r="E129">
        <v>96.36</v>
      </c>
      <c r="F129">
        <f t="shared" si="1"/>
        <v>3.1899999999999977</v>
      </c>
      <c r="G129">
        <v>233.73</v>
      </c>
      <c r="H129">
        <v>-58.781666666666666</v>
      </c>
    </row>
    <row r="130" spans="3:8" x14ac:dyDescent="0.25">
      <c r="C130">
        <v>1430</v>
      </c>
      <c r="D130">
        <v>100.38</v>
      </c>
      <c r="E130">
        <v>97.18</v>
      </c>
      <c r="F130">
        <f t="shared" si="1"/>
        <v>3.1999999999999886</v>
      </c>
      <c r="G130">
        <v>234.1</v>
      </c>
      <c r="H130">
        <v>-58.373333333333335</v>
      </c>
    </row>
    <row r="131" spans="3:8" x14ac:dyDescent="0.25">
      <c r="C131">
        <v>1440</v>
      </c>
      <c r="D131">
        <v>101.23</v>
      </c>
      <c r="E131">
        <v>98</v>
      </c>
      <c r="F131">
        <f t="shared" ref="F131:F193" si="2">D131-E131</f>
        <v>3.230000000000004</v>
      </c>
      <c r="G131">
        <v>229.87</v>
      </c>
      <c r="H131">
        <v>-58.981666666666662</v>
      </c>
    </row>
    <row r="132" spans="3:8" x14ac:dyDescent="0.25">
      <c r="C132">
        <v>1450</v>
      </c>
      <c r="D132">
        <v>102.08</v>
      </c>
      <c r="E132">
        <v>98.83</v>
      </c>
      <c r="F132">
        <f t="shared" si="2"/>
        <v>3.25</v>
      </c>
      <c r="G132">
        <v>225.63</v>
      </c>
      <c r="H132">
        <v>-60.183333333333337</v>
      </c>
    </row>
    <row r="133" spans="3:8" x14ac:dyDescent="0.25">
      <c r="C133">
        <v>1460</v>
      </c>
      <c r="D133">
        <v>102.97</v>
      </c>
      <c r="E133">
        <v>99.67</v>
      </c>
      <c r="F133">
        <f t="shared" si="2"/>
        <v>3.2999999999999972</v>
      </c>
      <c r="G133">
        <v>226.38</v>
      </c>
      <c r="H133">
        <v>-59.908333333333331</v>
      </c>
    </row>
    <row r="134" spans="3:8" x14ac:dyDescent="0.25">
      <c r="C134">
        <v>1470</v>
      </c>
      <c r="D134">
        <v>103.87</v>
      </c>
      <c r="E134">
        <v>100.52</v>
      </c>
      <c r="F134">
        <f t="shared" si="2"/>
        <v>3.3500000000000085</v>
      </c>
      <c r="G134">
        <v>228.01</v>
      </c>
      <c r="H134">
        <v>-60.405000000000001</v>
      </c>
    </row>
    <row r="135" spans="3:8" x14ac:dyDescent="0.25">
      <c r="C135">
        <v>1480</v>
      </c>
      <c r="D135">
        <v>104.78</v>
      </c>
      <c r="E135">
        <v>101.39</v>
      </c>
      <c r="F135">
        <f t="shared" si="2"/>
        <v>3.3900000000000006</v>
      </c>
      <c r="G135">
        <v>230.58</v>
      </c>
      <c r="H135">
        <v>-59.988333333333337</v>
      </c>
    </row>
    <row r="136" spans="3:8" x14ac:dyDescent="0.25">
      <c r="C136">
        <v>1490</v>
      </c>
      <c r="D136">
        <v>105.71</v>
      </c>
      <c r="E136">
        <v>102.28</v>
      </c>
      <c r="F136">
        <f t="shared" si="2"/>
        <v>3.4299999999999926</v>
      </c>
      <c r="G136">
        <v>234.62</v>
      </c>
      <c r="H136">
        <v>-60.29</v>
      </c>
    </row>
    <row r="137" spans="3:8" x14ac:dyDescent="0.25">
      <c r="C137">
        <v>1500</v>
      </c>
      <c r="D137">
        <v>106.65</v>
      </c>
      <c r="E137">
        <v>103.17</v>
      </c>
      <c r="F137">
        <f t="shared" si="2"/>
        <v>3.480000000000004</v>
      </c>
      <c r="G137">
        <v>238.44</v>
      </c>
      <c r="H137">
        <v>-60.351666666666667</v>
      </c>
    </row>
    <row r="138" spans="3:8" x14ac:dyDescent="0.25">
      <c r="C138">
        <v>1510</v>
      </c>
      <c r="D138">
        <v>107.64</v>
      </c>
      <c r="E138">
        <v>104.1</v>
      </c>
      <c r="F138">
        <f t="shared" si="2"/>
        <v>3.5400000000000063</v>
      </c>
      <c r="G138">
        <v>236.94</v>
      </c>
      <c r="H138">
        <v>-62.861666666666672</v>
      </c>
    </row>
    <row r="139" spans="3:8" x14ac:dyDescent="0.25">
      <c r="C139">
        <v>1520</v>
      </c>
      <c r="D139">
        <v>108.62</v>
      </c>
      <c r="E139">
        <v>105.03</v>
      </c>
      <c r="F139">
        <f t="shared" si="2"/>
        <v>3.5900000000000034</v>
      </c>
      <c r="G139">
        <v>235.44</v>
      </c>
      <c r="H139">
        <v>-62.42166666666666</v>
      </c>
    </row>
    <row r="140" spans="3:8" x14ac:dyDescent="0.25">
      <c r="C140">
        <v>1530</v>
      </c>
      <c r="D140">
        <v>109.6</v>
      </c>
      <c r="E140">
        <v>105.98</v>
      </c>
      <c r="F140">
        <f t="shared" si="2"/>
        <v>3.6199999999999903</v>
      </c>
      <c r="G140">
        <v>236.2</v>
      </c>
      <c r="H140">
        <v>-62.104999999999997</v>
      </c>
    </row>
    <row r="141" spans="3:8" x14ac:dyDescent="0.25">
      <c r="C141">
        <v>1540</v>
      </c>
      <c r="D141">
        <v>110.57</v>
      </c>
      <c r="E141">
        <v>106.96</v>
      </c>
      <c r="F141">
        <f t="shared" si="2"/>
        <v>3.6099999999999994</v>
      </c>
      <c r="G141">
        <v>240.79</v>
      </c>
      <c r="H141">
        <v>-61.566666666666663</v>
      </c>
    </row>
    <row r="142" spans="3:8" x14ac:dyDescent="0.25">
      <c r="C142">
        <v>1550</v>
      </c>
      <c r="D142">
        <v>111.53</v>
      </c>
      <c r="E142">
        <v>107.95</v>
      </c>
      <c r="F142">
        <f t="shared" si="2"/>
        <v>3.5799999999999983</v>
      </c>
      <c r="G142">
        <v>242.88</v>
      </c>
      <c r="H142">
        <v>-61.963333333333331</v>
      </c>
    </row>
    <row r="143" spans="3:8" x14ac:dyDescent="0.25">
      <c r="C143">
        <v>1560</v>
      </c>
      <c r="D143">
        <v>112.45</v>
      </c>
      <c r="E143">
        <v>108.97</v>
      </c>
      <c r="F143">
        <f t="shared" si="2"/>
        <v>3.480000000000004</v>
      </c>
      <c r="G143">
        <v>239.16</v>
      </c>
      <c r="H143">
        <v>-62.298333333333339</v>
      </c>
    </row>
    <row r="144" spans="3:8" x14ac:dyDescent="0.25">
      <c r="C144">
        <v>1570</v>
      </c>
      <c r="D144">
        <v>113.37</v>
      </c>
      <c r="E144">
        <v>109.98</v>
      </c>
      <c r="F144">
        <f t="shared" si="2"/>
        <v>3.3900000000000006</v>
      </c>
      <c r="G144">
        <v>235.43</v>
      </c>
      <c r="H144">
        <v>-62.106666666666662</v>
      </c>
    </row>
    <row r="145" spans="3:8" x14ac:dyDescent="0.25">
      <c r="C145">
        <v>1580</v>
      </c>
      <c r="D145">
        <v>114.27</v>
      </c>
      <c r="E145">
        <v>110.97</v>
      </c>
      <c r="F145">
        <f t="shared" si="2"/>
        <v>3.2999999999999972</v>
      </c>
      <c r="G145">
        <v>234.87</v>
      </c>
      <c r="H145">
        <v>-61.156666666666666</v>
      </c>
    </row>
    <row r="146" spans="3:8" x14ac:dyDescent="0.25">
      <c r="C146">
        <v>1590</v>
      </c>
      <c r="D146">
        <v>115.15</v>
      </c>
      <c r="E146">
        <v>111.93</v>
      </c>
      <c r="F146">
        <f t="shared" si="2"/>
        <v>3.2199999999999989</v>
      </c>
      <c r="G146">
        <v>237.72</v>
      </c>
      <c r="H146">
        <v>-60.216666666666669</v>
      </c>
    </row>
    <row r="147" spans="3:8" x14ac:dyDescent="0.25">
      <c r="C147">
        <v>1600</v>
      </c>
      <c r="D147">
        <v>116.02</v>
      </c>
      <c r="E147">
        <v>112.88</v>
      </c>
      <c r="F147">
        <f t="shared" si="2"/>
        <v>3.1400000000000006</v>
      </c>
      <c r="G147">
        <v>242.53</v>
      </c>
      <c r="H147">
        <v>-60.178333333333335</v>
      </c>
    </row>
    <row r="148" spans="3:8" x14ac:dyDescent="0.25">
      <c r="C148">
        <v>1610</v>
      </c>
      <c r="D148">
        <v>116.85</v>
      </c>
      <c r="E148">
        <v>113.79</v>
      </c>
      <c r="F148">
        <f t="shared" si="2"/>
        <v>3.0599999999999881</v>
      </c>
      <c r="G148">
        <v>255.16</v>
      </c>
      <c r="H148">
        <v>-58.893333333333338</v>
      </c>
    </row>
    <row r="149" spans="3:8" x14ac:dyDescent="0.25">
      <c r="C149">
        <v>1620</v>
      </c>
      <c r="D149">
        <v>117.68</v>
      </c>
      <c r="E149">
        <v>114.7</v>
      </c>
      <c r="F149">
        <f t="shared" si="2"/>
        <v>2.980000000000004</v>
      </c>
      <c r="G149">
        <v>267.79000000000002</v>
      </c>
      <c r="H149">
        <v>-58.548333333333339</v>
      </c>
    </row>
    <row r="150" spans="3:8" x14ac:dyDescent="0.25">
      <c r="C150">
        <v>1630</v>
      </c>
      <c r="D150">
        <v>118.5</v>
      </c>
      <c r="E150">
        <v>115.59</v>
      </c>
      <c r="F150">
        <f t="shared" si="2"/>
        <v>2.9099999999999966</v>
      </c>
      <c r="G150">
        <v>275.36</v>
      </c>
      <c r="H150">
        <v>-57.435000000000002</v>
      </c>
    </row>
    <row r="151" spans="3:8" x14ac:dyDescent="0.25">
      <c r="C151">
        <v>1640</v>
      </c>
      <c r="D151">
        <v>119.29</v>
      </c>
      <c r="E151">
        <v>116.46</v>
      </c>
      <c r="F151">
        <f t="shared" si="2"/>
        <v>2.8300000000000125</v>
      </c>
      <c r="G151">
        <v>273.52</v>
      </c>
      <c r="H151">
        <v>-57.50333333333333</v>
      </c>
    </row>
    <row r="152" spans="3:8" x14ac:dyDescent="0.25">
      <c r="C152">
        <v>1650</v>
      </c>
      <c r="D152">
        <v>120.09</v>
      </c>
      <c r="E152">
        <v>117.32</v>
      </c>
      <c r="F152">
        <f t="shared" si="2"/>
        <v>2.7700000000000102</v>
      </c>
      <c r="G152">
        <v>271.68</v>
      </c>
      <c r="H152">
        <v>-56.983333333333327</v>
      </c>
    </row>
    <row r="153" spans="3:8" x14ac:dyDescent="0.25">
      <c r="C153">
        <v>1660</v>
      </c>
      <c r="D153">
        <v>120.85</v>
      </c>
      <c r="E153">
        <v>118.15</v>
      </c>
      <c r="F153">
        <f t="shared" si="2"/>
        <v>2.6999999999999886</v>
      </c>
      <c r="G153">
        <v>274.51</v>
      </c>
      <c r="H153">
        <v>-56.801666666666669</v>
      </c>
    </row>
    <row r="154" spans="3:8" x14ac:dyDescent="0.25">
      <c r="C154">
        <v>1670</v>
      </c>
      <c r="D154">
        <v>121.61</v>
      </c>
      <c r="E154">
        <v>118.97</v>
      </c>
      <c r="F154">
        <f t="shared" si="2"/>
        <v>2.6400000000000006</v>
      </c>
      <c r="G154">
        <v>277.86</v>
      </c>
      <c r="H154">
        <v>-56.85</v>
      </c>
    </row>
    <row r="155" spans="3:8" x14ac:dyDescent="0.25">
      <c r="C155">
        <v>1680</v>
      </c>
      <c r="D155">
        <v>122.36</v>
      </c>
      <c r="E155">
        <v>119.78</v>
      </c>
      <c r="F155">
        <f t="shared" si="2"/>
        <v>2.5799999999999983</v>
      </c>
      <c r="G155">
        <v>278.75</v>
      </c>
      <c r="H155">
        <v>-56.695</v>
      </c>
    </row>
    <row r="156" spans="3:8" x14ac:dyDescent="0.25">
      <c r="C156">
        <v>1690</v>
      </c>
      <c r="D156">
        <v>123.1</v>
      </c>
      <c r="E156">
        <v>120.57</v>
      </c>
      <c r="F156">
        <f t="shared" si="2"/>
        <v>2.5300000000000011</v>
      </c>
      <c r="G156">
        <v>275.27999999999997</v>
      </c>
      <c r="H156">
        <v>-55.818333333333335</v>
      </c>
    </row>
    <row r="157" spans="3:8" x14ac:dyDescent="0.25">
      <c r="C157">
        <v>1700</v>
      </c>
      <c r="D157">
        <v>123.83</v>
      </c>
      <c r="E157">
        <v>121.36</v>
      </c>
      <c r="F157">
        <f t="shared" si="2"/>
        <v>2.4699999999999989</v>
      </c>
      <c r="G157">
        <v>271.81</v>
      </c>
      <c r="H157">
        <v>-55.971666666666664</v>
      </c>
    </row>
    <row r="158" spans="3:8" x14ac:dyDescent="0.25">
      <c r="C158">
        <v>1710</v>
      </c>
      <c r="D158">
        <v>124.54</v>
      </c>
      <c r="E158">
        <v>122.12</v>
      </c>
      <c r="F158">
        <f t="shared" si="2"/>
        <v>2.4200000000000017</v>
      </c>
      <c r="G158">
        <v>269.32</v>
      </c>
      <c r="H158">
        <v>-54.933333333333337</v>
      </c>
    </row>
    <row r="159" spans="3:8" x14ac:dyDescent="0.25">
      <c r="C159">
        <v>1720</v>
      </c>
      <c r="D159">
        <v>125.25</v>
      </c>
      <c r="E159">
        <v>122.87</v>
      </c>
      <c r="F159">
        <f t="shared" si="2"/>
        <v>2.3799999999999955</v>
      </c>
      <c r="G159">
        <v>266.93</v>
      </c>
      <c r="H159">
        <v>-55.261666666666663</v>
      </c>
    </row>
    <row r="160" spans="3:8" x14ac:dyDescent="0.25">
      <c r="C160">
        <v>1730</v>
      </c>
      <c r="D160">
        <v>125.95</v>
      </c>
      <c r="E160">
        <v>123.61</v>
      </c>
      <c r="F160">
        <f t="shared" si="2"/>
        <v>2.3400000000000034</v>
      </c>
      <c r="G160">
        <v>265.95999999999998</v>
      </c>
      <c r="H160">
        <v>-56.048333333333339</v>
      </c>
    </row>
    <row r="161" spans="3:8" x14ac:dyDescent="0.25">
      <c r="C161">
        <v>1740</v>
      </c>
      <c r="D161">
        <v>126.65</v>
      </c>
      <c r="E161">
        <v>124.33</v>
      </c>
      <c r="F161">
        <f t="shared" si="2"/>
        <v>2.3200000000000074</v>
      </c>
      <c r="G161">
        <v>268.01</v>
      </c>
      <c r="H161">
        <v>-55.388333333333328</v>
      </c>
    </row>
    <row r="162" spans="3:8" x14ac:dyDescent="0.25">
      <c r="C162">
        <v>1750</v>
      </c>
      <c r="D162">
        <v>127.34</v>
      </c>
      <c r="E162">
        <v>125.04</v>
      </c>
      <c r="F162">
        <f t="shared" si="2"/>
        <v>2.2999999999999972</v>
      </c>
      <c r="G162">
        <v>270.06</v>
      </c>
      <c r="H162">
        <v>-54.618333333333332</v>
      </c>
    </row>
    <row r="163" spans="3:8" x14ac:dyDescent="0.25">
      <c r="C163">
        <v>1760</v>
      </c>
      <c r="D163">
        <v>128.04</v>
      </c>
      <c r="E163">
        <v>125.76</v>
      </c>
      <c r="F163">
        <f t="shared" si="2"/>
        <v>2.2799999999999869</v>
      </c>
      <c r="G163">
        <v>272.11</v>
      </c>
      <c r="H163">
        <v>-54.925000000000004</v>
      </c>
    </row>
    <row r="164" spans="3:8" x14ac:dyDescent="0.25">
      <c r="C164">
        <v>1770</v>
      </c>
      <c r="D164">
        <v>128.74</v>
      </c>
      <c r="E164">
        <v>126.48</v>
      </c>
      <c r="F164">
        <f t="shared" si="2"/>
        <v>2.2600000000000051</v>
      </c>
      <c r="G164">
        <v>274.16000000000003</v>
      </c>
      <c r="H164">
        <v>-54.678333333333335</v>
      </c>
    </row>
    <row r="165" spans="3:8" x14ac:dyDescent="0.25">
      <c r="C165">
        <v>1780</v>
      </c>
      <c r="D165">
        <v>129.44</v>
      </c>
      <c r="E165">
        <v>127.19</v>
      </c>
      <c r="F165">
        <f t="shared" si="2"/>
        <v>2.25</v>
      </c>
      <c r="G165">
        <v>273.23</v>
      </c>
      <c r="H165">
        <v>-55.011666666666663</v>
      </c>
    </row>
    <row r="166" spans="3:8" x14ac:dyDescent="0.25">
      <c r="C166">
        <v>1790</v>
      </c>
      <c r="D166">
        <v>130.15</v>
      </c>
      <c r="E166">
        <v>127.9</v>
      </c>
      <c r="F166">
        <f t="shared" si="2"/>
        <v>2.25</v>
      </c>
      <c r="G166">
        <v>270.22000000000003</v>
      </c>
      <c r="H166">
        <v>-54.721666666666664</v>
      </c>
    </row>
    <row r="167" spans="3:8" x14ac:dyDescent="0.25">
      <c r="C167">
        <v>1800</v>
      </c>
      <c r="D167">
        <v>130.86000000000001</v>
      </c>
      <c r="E167">
        <v>128.61000000000001</v>
      </c>
      <c r="F167">
        <f t="shared" si="2"/>
        <v>2.25</v>
      </c>
      <c r="G167">
        <v>267.22000000000003</v>
      </c>
      <c r="H167">
        <v>-53.843333333333334</v>
      </c>
    </row>
    <row r="168" spans="3:8" x14ac:dyDescent="0.25">
      <c r="C168">
        <v>1810</v>
      </c>
      <c r="D168">
        <v>131.57</v>
      </c>
      <c r="E168">
        <v>129.33000000000001</v>
      </c>
      <c r="F168">
        <f t="shared" si="2"/>
        <v>2.2399999999999807</v>
      </c>
      <c r="G168">
        <v>269.27</v>
      </c>
      <c r="H168">
        <v>-53.09</v>
      </c>
    </row>
    <row r="169" spans="3:8" x14ac:dyDescent="0.25">
      <c r="C169">
        <v>1820</v>
      </c>
      <c r="D169">
        <v>132.29</v>
      </c>
      <c r="E169">
        <v>130.05000000000001</v>
      </c>
      <c r="F169">
        <f t="shared" si="2"/>
        <v>2.2399999999999807</v>
      </c>
      <c r="G169">
        <v>272.92</v>
      </c>
      <c r="H169">
        <v>-53.358333333333327</v>
      </c>
    </row>
    <row r="170" spans="3:8" x14ac:dyDescent="0.25">
      <c r="C170">
        <v>1830</v>
      </c>
      <c r="D170">
        <v>133.01</v>
      </c>
      <c r="E170">
        <v>130.78</v>
      </c>
      <c r="F170">
        <f t="shared" si="2"/>
        <v>2.2299999999999898</v>
      </c>
      <c r="G170">
        <v>273.44</v>
      </c>
      <c r="H170">
        <v>-52.330000000000005</v>
      </c>
    </row>
    <row r="171" spans="3:8" x14ac:dyDescent="0.25">
      <c r="C171">
        <v>1840</v>
      </c>
      <c r="D171">
        <v>133.74</v>
      </c>
      <c r="E171">
        <v>131.51</v>
      </c>
      <c r="F171">
        <f t="shared" si="2"/>
        <v>2.2300000000000182</v>
      </c>
      <c r="G171">
        <v>269.81</v>
      </c>
      <c r="H171">
        <v>-53.585000000000001</v>
      </c>
    </row>
    <row r="172" spans="3:8" x14ac:dyDescent="0.25">
      <c r="C172">
        <v>1850</v>
      </c>
      <c r="D172">
        <v>134.47</v>
      </c>
      <c r="E172">
        <v>132.24</v>
      </c>
      <c r="F172">
        <f t="shared" si="2"/>
        <v>2.2299999999999898</v>
      </c>
      <c r="G172">
        <v>266.18</v>
      </c>
      <c r="H172">
        <v>-55.648333333333333</v>
      </c>
    </row>
    <row r="173" spans="3:8" x14ac:dyDescent="0.25">
      <c r="C173">
        <v>1860</v>
      </c>
      <c r="D173">
        <v>135.24</v>
      </c>
      <c r="E173">
        <v>132.99</v>
      </c>
      <c r="F173">
        <f t="shared" si="2"/>
        <v>2.25</v>
      </c>
      <c r="G173">
        <v>277.41000000000003</v>
      </c>
      <c r="H173">
        <v>-53.906666666666666</v>
      </c>
    </row>
    <row r="174" spans="3:8" x14ac:dyDescent="0.25">
      <c r="C174">
        <v>1870</v>
      </c>
      <c r="D174">
        <v>136</v>
      </c>
      <c r="E174">
        <v>133.72999999999999</v>
      </c>
      <c r="F174">
        <f t="shared" si="2"/>
        <v>2.2700000000000102</v>
      </c>
      <c r="G174">
        <v>289.42</v>
      </c>
      <c r="H174">
        <v>-55.034999999999997</v>
      </c>
    </row>
    <row r="175" spans="3:8" x14ac:dyDescent="0.25">
      <c r="C175">
        <v>1880</v>
      </c>
      <c r="D175">
        <v>136.80000000000001</v>
      </c>
      <c r="E175">
        <v>134.47999999999999</v>
      </c>
      <c r="F175">
        <f t="shared" si="2"/>
        <v>2.3200000000000216</v>
      </c>
      <c r="G175">
        <v>291.70999999999998</v>
      </c>
      <c r="H175">
        <v>-55.943333333333335</v>
      </c>
    </row>
    <row r="176" spans="3:8" x14ac:dyDescent="0.25">
      <c r="C176">
        <v>1890</v>
      </c>
      <c r="D176">
        <v>137.63999999999999</v>
      </c>
      <c r="E176">
        <v>135.25</v>
      </c>
      <c r="F176">
        <f t="shared" si="2"/>
        <v>2.3899999999999864</v>
      </c>
      <c r="G176">
        <v>280.02</v>
      </c>
      <c r="H176">
        <v>-57.925000000000004</v>
      </c>
    </row>
    <row r="177" spans="3:8" x14ac:dyDescent="0.25">
      <c r="C177">
        <v>1900</v>
      </c>
      <c r="D177">
        <v>138.49</v>
      </c>
      <c r="E177">
        <v>136.02000000000001</v>
      </c>
      <c r="F177">
        <f t="shared" si="2"/>
        <v>2.4699999999999989</v>
      </c>
      <c r="G177">
        <v>268.33999999999997</v>
      </c>
      <c r="H177">
        <v>-58.29</v>
      </c>
    </row>
    <row r="178" spans="3:8" x14ac:dyDescent="0.25">
      <c r="C178">
        <v>1910</v>
      </c>
      <c r="D178">
        <v>139.43</v>
      </c>
      <c r="E178">
        <v>136.86000000000001</v>
      </c>
      <c r="F178">
        <f t="shared" si="2"/>
        <v>2.5699999999999932</v>
      </c>
      <c r="G178">
        <v>260</v>
      </c>
      <c r="H178">
        <v>-59.506666666666668</v>
      </c>
    </row>
    <row r="179" spans="3:8" x14ac:dyDescent="0.25">
      <c r="C179">
        <v>1920</v>
      </c>
      <c r="D179">
        <v>140.4</v>
      </c>
      <c r="E179">
        <v>137.72</v>
      </c>
      <c r="F179">
        <f t="shared" si="2"/>
        <v>2.6800000000000068</v>
      </c>
      <c r="G179">
        <v>252.5</v>
      </c>
      <c r="H179">
        <v>-61.113333333333337</v>
      </c>
    </row>
    <row r="180" spans="3:8" x14ac:dyDescent="0.25">
      <c r="C180">
        <v>1930</v>
      </c>
      <c r="D180">
        <v>141.38999999999999</v>
      </c>
      <c r="E180">
        <v>138.61000000000001</v>
      </c>
      <c r="F180">
        <f t="shared" si="2"/>
        <v>2.7799999999999727</v>
      </c>
      <c r="G180">
        <v>245</v>
      </c>
      <c r="H180">
        <v>-62.844999999999999</v>
      </c>
    </row>
    <row r="181" spans="3:8" x14ac:dyDescent="0.25">
      <c r="C181">
        <v>1940</v>
      </c>
      <c r="D181">
        <v>142.49</v>
      </c>
      <c r="E181">
        <v>139.58000000000001</v>
      </c>
      <c r="F181">
        <f t="shared" si="2"/>
        <v>2.9099999999999966</v>
      </c>
      <c r="G181">
        <v>237.51</v>
      </c>
      <c r="H181">
        <v>-63.306666666666665</v>
      </c>
    </row>
    <row r="182" spans="3:8" x14ac:dyDescent="0.25">
      <c r="C182">
        <v>1950</v>
      </c>
      <c r="D182">
        <v>143.61000000000001</v>
      </c>
      <c r="E182">
        <v>140.57</v>
      </c>
      <c r="F182">
        <f t="shared" si="2"/>
        <v>3.0400000000000205</v>
      </c>
      <c r="G182">
        <v>230.31</v>
      </c>
      <c r="H182">
        <v>-63.055</v>
      </c>
    </row>
    <row r="183" spans="3:8" x14ac:dyDescent="0.25">
      <c r="C183">
        <v>1960</v>
      </c>
      <c r="D183">
        <v>144.88999999999999</v>
      </c>
      <c r="E183">
        <v>141.68</v>
      </c>
      <c r="F183">
        <f t="shared" si="2"/>
        <v>3.2099999999999795</v>
      </c>
      <c r="G183">
        <v>225.05</v>
      </c>
      <c r="H183">
        <v>-64.95</v>
      </c>
    </row>
    <row r="184" spans="3:8" x14ac:dyDescent="0.25">
      <c r="C184">
        <v>1970</v>
      </c>
      <c r="D184">
        <v>146.18</v>
      </c>
      <c r="E184">
        <v>142.78</v>
      </c>
      <c r="F184">
        <f t="shared" si="2"/>
        <v>3.4000000000000057</v>
      </c>
      <c r="G184">
        <v>219.79</v>
      </c>
      <c r="H184">
        <v>-64.898333333333326</v>
      </c>
    </row>
    <row r="185" spans="3:8" x14ac:dyDescent="0.25">
      <c r="C185">
        <v>1980</v>
      </c>
      <c r="D185">
        <v>147.58000000000001</v>
      </c>
      <c r="E185">
        <v>143.97999999999999</v>
      </c>
      <c r="F185">
        <f t="shared" si="2"/>
        <v>3.6000000000000227</v>
      </c>
      <c r="G185">
        <v>211.62</v>
      </c>
      <c r="H185">
        <v>-63.914999999999999</v>
      </c>
    </row>
    <row r="186" spans="3:8" x14ac:dyDescent="0.25">
      <c r="C186">
        <v>1990</v>
      </c>
      <c r="D186">
        <v>149.11000000000001</v>
      </c>
      <c r="E186">
        <v>145.29</v>
      </c>
      <c r="F186">
        <f t="shared" si="2"/>
        <v>3.8200000000000216</v>
      </c>
      <c r="G186">
        <v>200.16</v>
      </c>
      <c r="H186">
        <v>-64.166666666666671</v>
      </c>
    </row>
    <row r="187" spans="3:8" x14ac:dyDescent="0.25">
      <c r="C187">
        <v>2000</v>
      </c>
      <c r="D187">
        <v>150.66999999999999</v>
      </c>
      <c r="E187">
        <v>146.65</v>
      </c>
      <c r="F187">
        <f t="shared" si="2"/>
        <v>4.0199999999999818</v>
      </c>
      <c r="G187">
        <v>191.69</v>
      </c>
      <c r="H187">
        <v>-63.918333333333329</v>
      </c>
    </row>
    <row r="188" spans="3:8" x14ac:dyDescent="0.25">
      <c r="C188">
        <v>2010</v>
      </c>
      <c r="D188">
        <v>152.35</v>
      </c>
      <c r="E188">
        <v>148.22999999999999</v>
      </c>
      <c r="F188">
        <f t="shared" si="2"/>
        <v>4.1200000000000045</v>
      </c>
      <c r="G188">
        <v>195.12</v>
      </c>
      <c r="H188">
        <v>-64.788333333333341</v>
      </c>
    </row>
    <row r="189" spans="3:8" x14ac:dyDescent="0.25">
      <c r="C189">
        <v>2020</v>
      </c>
      <c r="D189">
        <v>154.02000000000001</v>
      </c>
      <c r="E189">
        <v>149.80000000000001</v>
      </c>
      <c r="F189">
        <f t="shared" si="2"/>
        <v>4.2199999999999989</v>
      </c>
      <c r="G189">
        <v>198.55</v>
      </c>
      <c r="H189">
        <v>-63.966666666666669</v>
      </c>
    </row>
    <row r="190" spans="3:8" x14ac:dyDescent="0.25">
      <c r="C190">
        <v>2030</v>
      </c>
      <c r="D190">
        <v>155.69999999999999</v>
      </c>
      <c r="E190">
        <v>151.44999999999999</v>
      </c>
      <c r="F190">
        <f t="shared" si="2"/>
        <v>4.25</v>
      </c>
      <c r="G190">
        <v>198.89</v>
      </c>
      <c r="H190">
        <v>-64.678333333333327</v>
      </c>
    </row>
    <row r="191" spans="3:8" x14ac:dyDescent="0.25">
      <c r="C191">
        <v>2040</v>
      </c>
      <c r="D191">
        <v>157.38</v>
      </c>
      <c r="E191">
        <v>153.18</v>
      </c>
      <c r="F191">
        <f t="shared" si="2"/>
        <v>4.1999999999999886</v>
      </c>
      <c r="G191">
        <v>195.15</v>
      </c>
      <c r="H191">
        <v>-64.179999999999993</v>
      </c>
    </row>
    <row r="192" spans="3:8" x14ac:dyDescent="0.25">
      <c r="C192">
        <v>2050</v>
      </c>
      <c r="D192">
        <v>159.05000000000001</v>
      </c>
      <c r="E192">
        <v>154.91999999999999</v>
      </c>
      <c r="F192">
        <f t="shared" si="2"/>
        <v>4.1300000000000239</v>
      </c>
      <c r="G192">
        <v>191.41</v>
      </c>
      <c r="H192">
        <v>-64.923333333333332</v>
      </c>
    </row>
    <row r="193" spans="3:8" x14ac:dyDescent="0.25">
      <c r="C193">
        <v>2060</v>
      </c>
      <c r="D193">
        <v>160.72999999999999</v>
      </c>
      <c r="E193">
        <v>156.65</v>
      </c>
      <c r="F193">
        <f t="shared" si="2"/>
        <v>4.0799999999999841</v>
      </c>
      <c r="G193">
        <v>192.8</v>
      </c>
      <c r="H193">
        <v>-64.208333333333329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51143-6C34-4033-9BAA-E5225369D710}">
  <dimension ref="A1:I193"/>
  <sheetViews>
    <sheetView tabSelected="1" topLeftCell="A2" zoomScale="85" zoomScaleNormal="85" workbookViewId="0">
      <selection activeCell="I19" sqref="I19"/>
    </sheetView>
  </sheetViews>
  <sheetFormatPr defaultColWidth="8.85546875" defaultRowHeight="15" x14ac:dyDescent="0.25"/>
  <cols>
    <col min="1" max="1" width="16" customWidth="1"/>
    <col min="2" max="2" width="57" customWidth="1"/>
  </cols>
  <sheetData>
    <row r="1" spans="1:4" ht="38.25" x14ac:dyDescent="0.25">
      <c r="A1" s="9" t="s">
        <v>0</v>
      </c>
      <c r="B1" s="10" t="str">
        <f>[1]Title!B1</f>
        <v>nobody</v>
      </c>
      <c r="C1" s="13" t="s">
        <v>16</v>
      </c>
      <c r="D1" s="13" t="s">
        <v>29</v>
      </c>
    </row>
    <row r="2" spans="1:4" x14ac:dyDescent="0.25">
      <c r="C2">
        <v>272.14</v>
      </c>
      <c r="D2">
        <v>-55.45333333333334</v>
      </c>
    </row>
    <row r="3" spans="1:4" x14ac:dyDescent="0.25">
      <c r="A3" s="11" t="s">
        <v>7</v>
      </c>
      <c r="B3" s="11" t="s">
        <v>8</v>
      </c>
      <c r="C3">
        <v>271.22000000000003</v>
      </c>
      <c r="D3">
        <v>-55.813333333333333</v>
      </c>
    </row>
    <row r="4" spans="1:4" x14ac:dyDescent="0.25">
      <c r="B4" s="12"/>
      <c r="C4">
        <v>270.29000000000002</v>
      </c>
      <c r="D4">
        <v>-54.62833333333333</v>
      </c>
    </row>
    <row r="5" spans="1:4" x14ac:dyDescent="0.25">
      <c r="C5">
        <v>268.39</v>
      </c>
      <c r="D5">
        <v>-55.56</v>
      </c>
    </row>
    <row r="6" spans="1:4" x14ac:dyDescent="0.25">
      <c r="C6">
        <v>266.06</v>
      </c>
      <c r="D6">
        <v>-55.71</v>
      </c>
    </row>
    <row r="7" spans="1:4" x14ac:dyDescent="0.25">
      <c r="C7">
        <v>263.73</v>
      </c>
      <c r="D7">
        <v>-52.808333333333337</v>
      </c>
    </row>
    <row r="8" spans="1:4" x14ac:dyDescent="0.25">
      <c r="C8">
        <v>261.39999999999998</v>
      </c>
      <c r="D8">
        <v>-55.298333333333339</v>
      </c>
    </row>
    <row r="9" spans="1:4" x14ac:dyDescent="0.25">
      <c r="C9">
        <v>259.06</v>
      </c>
      <c r="D9">
        <v>-55.323333333333331</v>
      </c>
    </row>
    <row r="10" spans="1:4" x14ac:dyDescent="0.25">
      <c r="C10">
        <v>256.73</v>
      </c>
      <c r="D10">
        <v>-54.783333333333331</v>
      </c>
    </row>
    <row r="11" spans="1:4" x14ac:dyDescent="0.25">
      <c r="C11">
        <v>254.4</v>
      </c>
      <c r="D11">
        <v>-54.553333333333335</v>
      </c>
    </row>
    <row r="12" spans="1:4" x14ac:dyDescent="0.25">
      <c r="C12">
        <v>252.07</v>
      </c>
      <c r="D12">
        <v>-55.396666666666668</v>
      </c>
    </row>
    <row r="13" spans="1:4" x14ac:dyDescent="0.25">
      <c r="C13">
        <v>255.09</v>
      </c>
      <c r="D13">
        <v>-54.773333333333333</v>
      </c>
    </row>
    <row r="14" spans="1:4" x14ac:dyDescent="0.25">
      <c r="C14">
        <v>257.22000000000003</v>
      </c>
      <c r="D14">
        <v>-56.041666666666664</v>
      </c>
    </row>
    <row r="15" spans="1:4" x14ac:dyDescent="0.25">
      <c r="C15">
        <v>257.77</v>
      </c>
      <c r="D15">
        <v>-57.851666666666667</v>
      </c>
    </row>
    <row r="16" spans="1:4" x14ac:dyDescent="0.25">
      <c r="C16">
        <v>258.31</v>
      </c>
      <c r="D16">
        <v>-58.879999999999995</v>
      </c>
    </row>
    <row r="17" spans="3:9" x14ac:dyDescent="0.25">
      <c r="C17">
        <v>258.86</v>
      </c>
      <c r="D17">
        <v>-58.593333333333334</v>
      </c>
    </row>
    <row r="18" spans="3:9" x14ac:dyDescent="0.25">
      <c r="C18">
        <v>257.58</v>
      </c>
      <c r="D18">
        <v>-57.37166666666667</v>
      </c>
    </row>
    <row r="19" spans="3:9" x14ac:dyDescent="0.25">
      <c r="C19">
        <v>255.66</v>
      </c>
      <c r="D19">
        <v>-59.156666666666666</v>
      </c>
      <c r="I19">
        <f>(0.0929 * 1) - 81.742</f>
        <v>-81.649100000000004</v>
      </c>
    </row>
    <row r="20" spans="3:9" x14ac:dyDescent="0.25">
      <c r="C20">
        <v>253.75</v>
      </c>
      <c r="D20">
        <v>-60.646666666666668</v>
      </c>
    </row>
    <row r="21" spans="3:9" x14ac:dyDescent="0.25">
      <c r="C21">
        <v>251.83</v>
      </c>
      <c r="D21">
        <v>-61.636666666666663</v>
      </c>
    </row>
    <row r="22" spans="3:9" x14ac:dyDescent="0.25">
      <c r="C22">
        <v>249.91</v>
      </c>
      <c r="D22">
        <v>-62.831666666666671</v>
      </c>
    </row>
    <row r="23" spans="3:9" x14ac:dyDescent="0.25">
      <c r="C23">
        <v>247.99</v>
      </c>
      <c r="D23">
        <v>-63.761666666666663</v>
      </c>
    </row>
    <row r="24" spans="3:9" x14ac:dyDescent="0.25">
      <c r="C24">
        <v>246.07</v>
      </c>
      <c r="D24">
        <v>-64.656666666666666</v>
      </c>
    </row>
    <row r="25" spans="3:9" x14ac:dyDescent="0.25">
      <c r="C25">
        <v>240.5</v>
      </c>
      <c r="D25">
        <v>-63.66</v>
      </c>
    </row>
    <row r="26" spans="3:9" x14ac:dyDescent="0.25">
      <c r="C26">
        <v>230.26</v>
      </c>
      <c r="D26">
        <v>-64.931666666666658</v>
      </c>
    </row>
    <row r="27" spans="3:9" x14ac:dyDescent="0.25">
      <c r="C27">
        <v>220.02</v>
      </c>
      <c r="D27">
        <v>-64.41</v>
      </c>
    </row>
    <row r="28" spans="3:9" x14ac:dyDescent="0.25">
      <c r="C28">
        <v>209.79</v>
      </c>
      <c r="D28">
        <v>-64.36666666666666</v>
      </c>
    </row>
    <row r="29" spans="3:9" x14ac:dyDescent="0.25">
      <c r="C29">
        <v>199.55</v>
      </c>
      <c r="D29">
        <v>-65.271666666666661</v>
      </c>
    </row>
    <row r="30" spans="3:9" x14ac:dyDescent="0.25">
      <c r="C30">
        <v>193.11</v>
      </c>
      <c r="D30">
        <v>-64.62</v>
      </c>
    </row>
    <row r="31" spans="3:9" x14ac:dyDescent="0.25">
      <c r="C31">
        <v>193.43</v>
      </c>
      <c r="D31">
        <v>-64.765000000000001</v>
      </c>
    </row>
    <row r="32" spans="3:9" x14ac:dyDescent="0.25">
      <c r="C32">
        <v>193.74</v>
      </c>
      <c r="D32">
        <v>-63.414999999999999</v>
      </c>
    </row>
    <row r="33" spans="3:4" x14ac:dyDescent="0.25">
      <c r="C33">
        <v>194.05</v>
      </c>
      <c r="D33">
        <v>-63.9</v>
      </c>
    </row>
    <row r="34" spans="3:4" x14ac:dyDescent="0.25">
      <c r="C34">
        <v>194.37</v>
      </c>
      <c r="D34">
        <v>-64.135000000000005</v>
      </c>
    </row>
    <row r="35" spans="3:4" x14ac:dyDescent="0.25">
      <c r="C35">
        <v>195.13</v>
      </c>
      <c r="D35">
        <v>-64.989999999999995</v>
      </c>
    </row>
    <row r="36" spans="3:4" x14ac:dyDescent="0.25">
      <c r="C36">
        <v>196.21</v>
      </c>
      <c r="D36">
        <v>-63.754999999999995</v>
      </c>
    </row>
    <row r="37" spans="3:4" x14ac:dyDescent="0.25">
      <c r="C37">
        <v>197.29</v>
      </c>
      <c r="D37">
        <v>-62.948333333333331</v>
      </c>
    </row>
    <row r="38" spans="3:4" x14ac:dyDescent="0.25">
      <c r="C38">
        <v>198.37</v>
      </c>
      <c r="D38">
        <v>-64.556666666666658</v>
      </c>
    </row>
    <row r="39" spans="3:4" x14ac:dyDescent="0.25">
      <c r="C39">
        <v>199.45</v>
      </c>
      <c r="D39">
        <v>-63.586666666666666</v>
      </c>
    </row>
    <row r="40" spans="3:4" x14ac:dyDescent="0.25">
      <c r="C40">
        <v>199.81</v>
      </c>
      <c r="D40">
        <v>-64.239999999999995</v>
      </c>
    </row>
    <row r="41" spans="3:4" x14ac:dyDescent="0.25">
      <c r="C41">
        <v>199.41</v>
      </c>
      <c r="D41">
        <v>-63.018333333333338</v>
      </c>
    </row>
    <row r="42" spans="3:4" x14ac:dyDescent="0.25">
      <c r="C42">
        <v>199.02</v>
      </c>
      <c r="D42">
        <v>-63.691666666666663</v>
      </c>
    </row>
    <row r="43" spans="3:4" x14ac:dyDescent="0.25">
      <c r="C43">
        <v>198.63</v>
      </c>
      <c r="D43">
        <v>-62.754999999999995</v>
      </c>
    </row>
    <row r="44" spans="3:4" x14ac:dyDescent="0.25">
      <c r="C44">
        <v>198.24</v>
      </c>
      <c r="D44">
        <v>-61.185000000000002</v>
      </c>
    </row>
    <row r="45" spans="3:4" x14ac:dyDescent="0.25">
      <c r="C45">
        <v>201.8</v>
      </c>
      <c r="D45">
        <v>-61.601666666666667</v>
      </c>
    </row>
    <row r="46" spans="3:4" x14ac:dyDescent="0.25">
      <c r="C46">
        <v>211.31</v>
      </c>
      <c r="D46">
        <v>-63.264999999999993</v>
      </c>
    </row>
    <row r="47" spans="3:4" x14ac:dyDescent="0.25">
      <c r="C47">
        <v>220.81</v>
      </c>
      <c r="D47">
        <v>-62.851666666666667</v>
      </c>
    </row>
    <row r="48" spans="3:4" x14ac:dyDescent="0.25">
      <c r="C48">
        <v>217.71</v>
      </c>
      <c r="D48">
        <v>-62.401666666666671</v>
      </c>
    </row>
    <row r="49" spans="3:4" x14ac:dyDescent="0.25">
      <c r="C49">
        <v>210.85</v>
      </c>
      <c r="D49">
        <v>-62.761666666666663</v>
      </c>
    </row>
    <row r="50" spans="3:4" x14ac:dyDescent="0.25">
      <c r="C50">
        <v>207.51</v>
      </c>
      <c r="D50">
        <v>-62.133333333333333</v>
      </c>
    </row>
    <row r="51" spans="3:4" x14ac:dyDescent="0.25">
      <c r="C51">
        <v>208.66</v>
      </c>
      <c r="D51">
        <v>-62.343333333333334</v>
      </c>
    </row>
    <row r="52" spans="3:4" x14ac:dyDescent="0.25">
      <c r="C52">
        <v>209.82</v>
      </c>
      <c r="D52">
        <v>-62.311666666666667</v>
      </c>
    </row>
    <row r="53" spans="3:4" x14ac:dyDescent="0.25">
      <c r="C53">
        <v>209.48</v>
      </c>
      <c r="D53">
        <v>-60.76</v>
      </c>
    </row>
    <row r="54" spans="3:4" x14ac:dyDescent="0.25">
      <c r="C54">
        <v>208.87</v>
      </c>
      <c r="D54">
        <v>-61.745000000000005</v>
      </c>
    </row>
    <row r="55" spans="3:4" x14ac:dyDescent="0.25">
      <c r="C55">
        <v>208.25</v>
      </c>
      <c r="D55">
        <v>-61.448333333333331</v>
      </c>
    </row>
    <row r="56" spans="3:4" x14ac:dyDescent="0.25">
      <c r="C56">
        <v>207.63</v>
      </c>
      <c r="D56">
        <v>-62.96</v>
      </c>
    </row>
    <row r="57" spans="3:4" x14ac:dyDescent="0.25">
      <c r="C57">
        <v>207.02</v>
      </c>
      <c r="D57">
        <v>-62.705000000000005</v>
      </c>
    </row>
    <row r="58" spans="3:4" x14ac:dyDescent="0.25">
      <c r="C58">
        <v>201.24</v>
      </c>
      <c r="D58">
        <v>-63.04666666666666</v>
      </c>
    </row>
    <row r="59" spans="3:4" x14ac:dyDescent="0.25">
      <c r="C59">
        <v>195.3</v>
      </c>
      <c r="D59">
        <v>-62.741666666666667</v>
      </c>
    </row>
    <row r="60" spans="3:4" x14ac:dyDescent="0.25">
      <c r="C60">
        <v>189.37</v>
      </c>
      <c r="D60">
        <v>-62.493333333333332</v>
      </c>
    </row>
    <row r="61" spans="3:4" x14ac:dyDescent="0.25">
      <c r="C61">
        <v>183.43</v>
      </c>
      <c r="D61">
        <v>-61.955000000000005</v>
      </c>
    </row>
    <row r="62" spans="3:4" x14ac:dyDescent="0.25">
      <c r="C62">
        <v>179.86</v>
      </c>
      <c r="D62">
        <v>-61.783333333333331</v>
      </c>
    </row>
    <row r="63" spans="3:4" x14ac:dyDescent="0.25">
      <c r="C63">
        <v>187.85</v>
      </c>
      <c r="D63">
        <v>-61.501666666666665</v>
      </c>
    </row>
    <row r="64" spans="3:4" x14ac:dyDescent="0.25">
      <c r="C64">
        <v>195.84</v>
      </c>
      <c r="D64">
        <v>-61.876666666666665</v>
      </c>
    </row>
    <row r="65" spans="3:4" x14ac:dyDescent="0.25">
      <c r="C65">
        <v>201.49</v>
      </c>
      <c r="D65">
        <v>-61.4</v>
      </c>
    </row>
    <row r="66" spans="3:4" x14ac:dyDescent="0.25">
      <c r="C66">
        <v>204.6</v>
      </c>
      <c r="D66">
        <v>-62.043333333333329</v>
      </c>
    </row>
    <row r="67" spans="3:4" x14ac:dyDescent="0.25">
      <c r="C67">
        <v>207.7</v>
      </c>
      <c r="D67">
        <v>-61.31</v>
      </c>
    </row>
    <row r="68" spans="3:4" x14ac:dyDescent="0.25">
      <c r="C68">
        <v>206.42</v>
      </c>
      <c r="D68">
        <v>-62.763333333333328</v>
      </c>
    </row>
    <row r="69" spans="3:4" x14ac:dyDescent="0.25">
      <c r="C69">
        <v>205.15</v>
      </c>
      <c r="D69">
        <v>-62.305</v>
      </c>
    </row>
    <row r="70" spans="3:4" x14ac:dyDescent="0.25">
      <c r="C70">
        <v>203.87</v>
      </c>
      <c r="D70">
        <v>-60.961666666666666</v>
      </c>
    </row>
    <row r="71" spans="3:4" x14ac:dyDescent="0.25">
      <c r="C71">
        <v>202.6</v>
      </c>
      <c r="D71">
        <v>-60.186666666666667</v>
      </c>
    </row>
    <row r="72" spans="3:4" x14ac:dyDescent="0.25">
      <c r="C72">
        <v>201.32</v>
      </c>
      <c r="D72">
        <v>-59.526666666666671</v>
      </c>
    </row>
    <row r="73" spans="3:4" x14ac:dyDescent="0.25">
      <c r="C73">
        <v>201</v>
      </c>
      <c r="D73">
        <v>-60.72</v>
      </c>
    </row>
    <row r="74" spans="3:4" x14ac:dyDescent="0.25">
      <c r="C74">
        <v>201</v>
      </c>
      <c r="D74">
        <v>-61.49666666666667</v>
      </c>
    </row>
    <row r="75" spans="3:4" x14ac:dyDescent="0.25">
      <c r="C75">
        <v>204.78</v>
      </c>
      <c r="D75">
        <v>-61.37833333333333</v>
      </c>
    </row>
    <row r="76" spans="3:4" x14ac:dyDescent="0.25">
      <c r="C76">
        <v>211.41</v>
      </c>
      <c r="D76">
        <v>-62.32</v>
      </c>
    </row>
    <row r="77" spans="3:4" x14ac:dyDescent="0.25">
      <c r="C77">
        <v>218.04</v>
      </c>
      <c r="D77">
        <v>-62.981666666666662</v>
      </c>
    </row>
    <row r="78" spans="3:4" x14ac:dyDescent="0.25">
      <c r="C78">
        <v>217.91</v>
      </c>
      <c r="D78">
        <v>-63.588333333333331</v>
      </c>
    </row>
    <row r="79" spans="3:4" x14ac:dyDescent="0.25">
      <c r="C79">
        <v>215.88</v>
      </c>
      <c r="D79">
        <v>-62.32833333333334</v>
      </c>
    </row>
    <row r="80" spans="3:4" x14ac:dyDescent="0.25">
      <c r="C80">
        <v>213.48</v>
      </c>
      <c r="D80">
        <v>-63.856666666666662</v>
      </c>
    </row>
    <row r="81" spans="3:4" x14ac:dyDescent="0.25">
      <c r="C81">
        <v>210.29</v>
      </c>
      <c r="D81">
        <v>-64.101666666666674</v>
      </c>
    </row>
    <row r="82" spans="3:4" x14ac:dyDescent="0.25">
      <c r="C82">
        <v>207.11</v>
      </c>
      <c r="D82">
        <v>-64.421666666666667</v>
      </c>
    </row>
    <row r="83" spans="3:4" x14ac:dyDescent="0.25">
      <c r="C83">
        <v>204.63</v>
      </c>
      <c r="D83">
        <v>-63.455000000000005</v>
      </c>
    </row>
    <row r="84" spans="3:4" x14ac:dyDescent="0.25">
      <c r="C84">
        <v>202.32</v>
      </c>
      <c r="D84">
        <v>-63.751666666666665</v>
      </c>
    </row>
    <row r="85" spans="3:4" x14ac:dyDescent="0.25">
      <c r="C85">
        <v>199.56</v>
      </c>
      <c r="D85">
        <v>-62.104999999999997</v>
      </c>
    </row>
    <row r="86" spans="3:4" x14ac:dyDescent="0.25">
      <c r="C86">
        <v>196.2</v>
      </c>
      <c r="D86">
        <v>-62.830000000000005</v>
      </c>
    </row>
    <row r="87" spans="3:4" x14ac:dyDescent="0.25">
      <c r="C87">
        <v>192.84</v>
      </c>
      <c r="D87">
        <v>-62.733333333333327</v>
      </c>
    </row>
    <row r="88" spans="3:4" x14ac:dyDescent="0.25">
      <c r="C88">
        <v>192.36</v>
      </c>
      <c r="D88">
        <v>-61.826666666666661</v>
      </c>
    </row>
    <row r="89" spans="3:4" x14ac:dyDescent="0.25">
      <c r="C89">
        <v>192.83</v>
      </c>
      <c r="D89">
        <v>-62.771666666666668</v>
      </c>
    </row>
    <row r="90" spans="3:4" x14ac:dyDescent="0.25">
      <c r="C90">
        <v>195.81</v>
      </c>
      <c r="D90">
        <v>-63.108333333333327</v>
      </c>
    </row>
    <row r="91" spans="3:4" x14ac:dyDescent="0.25">
      <c r="C91">
        <v>200.14</v>
      </c>
      <c r="D91">
        <v>-62.96</v>
      </c>
    </row>
    <row r="92" spans="3:4" x14ac:dyDescent="0.25">
      <c r="C92">
        <v>204.46</v>
      </c>
      <c r="D92">
        <v>-61.705000000000005</v>
      </c>
    </row>
    <row r="93" spans="3:4" x14ac:dyDescent="0.25">
      <c r="C93">
        <v>212.63</v>
      </c>
      <c r="D93">
        <v>-60.358333333333327</v>
      </c>
    </row>
    <row r="94" spans="3:4" x14ac:dyDescent="0.25">
      <c r="C94">
        <v>222</v>
      </c>
      <c r="D94">
        <v>-61.568333333333335</v>
      </c>
    </row>
    <row r="95" spans="3:4" x14ac:dyDescent="0.25">
      <c r="C95">
        <v>229.73</v>
      </c>
      <c r="D95">
        <v>-63.236666666666672</v>
      </c>
    </row>
    <row r="96" spans="3:4" x14ac:dyDescent="0.25">
      <c r="C96">
        <v>235.93</v>
      </c>
      <c r="D96">
        <v>-61.723333333333329</v>
      </c>
    </row>
    <row r="97" spans="3:4" x14ac:dyDescent="0.25">
      <c r="C97">
        <v>242.13</v>
      </c>
      <c r="D97">
        <v>-62.46</v>
      </c>
    </row>
    <row r="98" spans="3:4" x14ac:dyDescent="0.25">
      <c r="C98">
        <v>239.98</v>
      </c>
      <c r="D98">
        <v>-61.536666666666669</v>
      </c>
    </row>
    <row r="99" spans="3:4" x14ac:dyDescent="0.25">
      <c r="C99">
        <v>236.47</v>
      </c>
      <c r="D99">
        <v>-60.063333333333333</v>
      </c>
    </row>
    <row r="100" spans="3:4" x14ac:dyDescent="0.25">
      <c r="C100">
        <v>233.93</v>
      </c>
      <c r="D100">
        <v>-59.783333333333331</v>
      </c>
    </row>
    <row r="101" spans="3:4" x14ac:dyDescent="0.25">
      <c r="C101">
        <v>232.1</v>
      </c>
      <c r="D101">
        <v>-59.123333333333335</v>
      </c>
    </row>
    <row r="102" spans="3:4" x14ac:dyDescent="0.25">
      <c r="C102">
        <v>229.95</v>
      </c>
      <c r="D102">
        <v>-59.976666666666667</v>
      </c>
    </row>
    <row r="103" spans="3:4" x14ac:dyDescent="0.25">
      <c r="C103">
        <v>225.77</v>
      </c>
      <c r="D103">
        <v>-59.195</v>
      </c>
    </row>
    <row r="104" spans="3:4" x14ac:dyDescent="0.25">
      <c r="C104">
        <v>221.59</v>
      </c>
      <c r="D104">
        <v>-59.98</v>
      </c>
    </row>
    <row r="105" spans="3:4" x14ac:dyDescent="0.25">
      <c r="C105">
        <v>219.8</v>
      </c>
      <c r="D105">
        <v>-59.241666666666667</v>
      </c>
    </row>
    <row r="106" spans="3:4" x14ac:dyDescent="0.25">
      <c r="C106">
        <v>220.39</v>
      </c>
      <c r="D106">
        <v>-58.139999999999993</v>
      </c>
    </row>
    <row r="107" spans="3:4" x14ac:dyDescent="0.25">
      <c r="C107">
        <v>220.98</v>
      </c>
      <c r="D107">
        <v>-59.055</v>
      </c>
    </row>
    <row r="108" spans="3:4" x14ac:dyDescent="0.25">
      <c r="C108">
        <v>221.57</v>
      </c>
      <c r="D108">
        <v>-59.768333333333338</v>
      </c>
    </row>
    <row r="109" spans="3:4" x14ac:dyDescent="0.25">
      <c r="C109">
        <v>222.16</v>
      </c>
      <c r="D109">
        <v>-60.233333333333327</v>
      </c>
    </row>
    <row r="110" spans="3:4" x14ac:dyDescent="0.25">
      <c r="C110">
        <v>224.42</v>
      </c>
      <c r="D110">
        <v>-60.298333333333339</v>
      </c>
    </row>
    <row r="111" spans="3:4" x14ac:dyDescent="0.25">
      <c r="C111">
        <v>228.88</v>
      </c>
      <c r="D111">
        <v>-59.858333333333327</v>
      </c>
    </row>
    <row r="112" spans="3:4" x14ac:dyDescent="0.25">
      <c r="C112">
        <v>233.33</v>
      </c>
      <c r="D112">
        <v>-61.16</v>
      </c>
    </row>
    <row r="113" spans="3:4" x14ac:dyDescent="0.25">
      <c r="C113">
        <v>228.31</v>
      </c>
      <c r="D113">
        <v>-62.12166666666667</v>
      </c>
    </row>
    <row r="114" spans="3:4" x14ac:dyDescent="0.25">
      <c r="C114">
        <v>221.61</v>
      </c>
      <c r="D114">
        <v>-61.824999999999996</v>
      </c>
    </row>
    <row r="115" spans="3:4" x14ac:dyDescent="0.25">
      <c r="C115">
        <v>216.76</v>
      </c>
      <c r="D115">
        <v>-60.54666666666666</v>
      </c>
    </row>
    <row r="116" spans="3:4" x14ac:dyDescent="0.25">
      <c r="C116">
        <v>213.26</v>
      </c>
      <c r="D116">
        <v>-61.398333333333333</v>
      </c>
    </row>
    <row r="117" spans="3:4" x14ac:dyDescent="0.25">
      <c r="C117">
        <v>210.35</v>
      </c>
      <c r="D117">
        <v>-60.695</v>
      </c>
    </row>
    <row r="118" spans="3:4" x14ac:dyDescent="0.25">
      <c r="C118">
        <v>215.3</v>
      </c>
      <c r="D118">
        <v>-59.62833333333333</v>
      </c>
    </row>
    <row r="119" spans="3:4" x14ac:dyDescent="0.25">
      <c r="C119">
        <v>220.26</v>
      </c>
      <c r="D119">
        <v>-60.733333333333327</v>
      </c>
    </row>
    <row r="120" spans="3:4" x14ac:dyDescent="0.25">
      <c r="C120">
        <v>222.77</v>
      </c>
      <c r="D120">
        <v>-60.473333333333329</v>
      </c>
    </row>
    <row r="121" spans="3:4" x14ac:dyDescent="0.25">
      <c r="C121">
        <v>224.47</v>
      </c>
      <c r="D121">
        <v>-59.928333333333335</v>
      </c>
    </row>
    <row r="122" spans="3:4" x14ac:dyDescent="0.25">
      <c r="C122">
        <v>226.31</v>
      </c>
      <c r="D122">
        <v>-60.245000000000005</v>
      </c>
    </row>
    <row r="123" spans="3:4" x14ac:dyDescent="0.25">
      <c r="C123">
        <v>229.41</v>
      </c>
      <c r="D123">
        <v>-60.833333333333336</v>
      </c>
    </row>
    <row r="124" spans="3:4" x14ac:dyDescent="0.25">
      <c r="C124">
        <v>232.51</v>
      </c>
      <c r="D124">
        <v>-60.57</v>
      </c>
    </row>
    <row r="125" spans="3:4" x14ac:dyDescent="0.25">
      <c r="C125">
        <v>232.59</v>
      </c>
      <c r="D125">
        <v>-59.615000000000002</v>
      </c>
    </row>
    <row r="126" spans="3:4" x14ac:dyDescent="0.25">
      <c r="C126">
        <v>229.88</v>
      </c>
      <c r="D126">
        <v>-59.805</v>
      </c>
    </row>
    <row r="127" spans="3:4" x14ac:dyDescent="0.25">
      <c r="C127">
        <v>227.18</v>
      </c>
      <c r="D127">
        <v>-59.74666666666667</v>
      </c>
    </row>
    <row r="128" spans="3:4" x14ac:dyDescent="0.25">
      <c r="C128">
        <v>229.6</v>
      </c>
      <c r="D128">
        <v>-59.361666666666672</v>
      </c>
    </row>
    <row r="129" spans="3:4" x14ac:dyDescent="0.25">
      <c r="C129">
        <v>233.73</v>
      </c>
      <c r="D129">
        <v>-58.781666666666666</v>
      </c>
    </row>
    <row r="130" spans="3:4" x14ac:dyDescent="0.25">
      <c r="C130">
        <v>234.1</v>
      </c>
      <c r="D130">
        <v>-58.373333333333335</v>
      </c>
    </row>
    <row r="131" spans="3:4" x14ac:dyDescent="0.25">
      <c r="C131">
        <v>229.87</v>
      </c>
      <c r="D131">
        <v>-58.981666666666662</v>
      </c>
    </row>
    <row r="132" spans="3:4" x14ac:dyDescent="0.25">
      <c r="C132">
        <v>225.63</v>
      </c>
      <c r="D132">
        <v>-60.183333333333337</v>
      </c>
    </row>
    <row r="133" spans="3:4" x14ac:dyDescent="0.25">
      <c r="C133">
        <v>226.38</v>
      </c>
      <c r="D133">
        <v>-59.908333333333331</v>
      </c>
    </row>
    <row r="134" spans="3:4" x14ac:dyDescent="0.25">
      <c r="C134">
        <v>228.01</v>
      </c>
      <c r="D134">
        <v>-60.405000000000001</v>
      </c>
    </row>
    <row r="135" spans="3:4" x14ac:dyDescent="0.25">
      <c r="C135">
        <v>230.58</v>
      </c>
      <c r="D135">
        <v>-59.988333333333337</v>
      </c>
    </row>
    <row r="136" spans="3:4" x14ac:dyDescent="0.25">
      <c r="C136">
        <v>234.62</v>
      </c>
      <c r="D136">
        <v>-60.29</v>
      </c>
    </row>
    <row r="137" spans="3:4" x14ac:dyDescent="0.25">
      <c r="C137">
        <v>238.44</v>
      </c>
      <c r="D137">
        <v>-60.351666666666667</v>
      </c>
    </row>
    <row r="138" spans="3:4" x14ac:dyDescent="0.25">
      <c r="C138">
        <v>236.94</v>
      </c>
      <c r="D138">
        <v>-62.861666666666672</v>
      </c>
    </row>
    <row r="139" spans="3:4" x14ac:dyDescent="0.25">
      <c r="C139">
        <v>235.44</v>
      </c>
      <c r="D139">
        <v>-62.42166666666666</v>
      </c>
    </row>
    <row r="140" spans="3:4" x14ac:dyDescent="0.25">
      <c r="C140">
        <v>236.2</v>
      </c>
      <c r="D140">
        <v>-62.104999999999997</v>
      </c>
    </row>
    <row r="141" spans="3:4" x14ac:dyDescent="0.25">
      <c r="C141">
        <v>240.79</v>
      </c>
      <c r="D141">
        <v>-61.566666666666663</v>
      </c>
    </row>
    <row r="142" spans="3:4" x14ac:dyDescent="0.25">
      <c r="C142">
        <v>242.88</v>
      </c>
      <c r="D142">
        <v>-61.963333333333331</v>
      </c>
    </row>
    <row r="143" spans="3:4" x14ac:dyDescent="0.25">
      <c r="C143">
        <v>239.16</v>
      </c>
      <c r="D143">
        <v>-62.298333333333339</v>
      </c>
    </row>
    <row r="144" spans="3:4" x14ac:dyDescent="0.25">
      <c r="C144">
        <v>235.43</v>
      </c>
      <c r="D144">
        <v>-62.106666666666662</v>
      </c>
    </row>
    <row r="145" spans="3:4" x14ac:dyDescent="0.25">
      <c r="C145">
        <v>234.87</v>
      </c>
      <c r="D145">
        <v>-61.156666666666666</v>
      </c>
    </row>
    <row r="146" spans="3:4" x14ac:dyDescent="0.25">
      <c r="C146">
        <v>237.72</v>
      </c>
      <c r="D146">
        <v>-60.216666666666669</v>
      </c>
    </row>
    <row r="147" spans="3:4" x14ac:dyDescent="0.25">
      <c r="C147">
        <v>242.53</v>
      </c>
      <c r="D147">
        <v>-60.178333333333335</v>
      </c>
    </row>
    <row r="148" spans="3:4" x14ac:dyDescent="0.25">
      <c r="C148">
        <v>255.16</v>
      </c>
      <c r="D148">
        <v>-58.893333333333338</v>
      </c>
    </row>
    <row r="149" spans="3:4" x14ac:dyDescent="0.25">
      <c r="C149">
        <v>267.79000000000002</v>
      </c>
      <c r="D149">
        <v>-58.548333333333339</v>
      </c>
    </row>
    <row r="150" spans="3:4" x14ac:dyDescent="0.25">
      <c r="C150">
        <v>275.36</v>
      </c>
      <c r="D150">
        <v>-57.435000000000002</v>
      </c>
    </row>
    <row r="151" spans="3:4" x14ac:dyDescent="0.25">
      <c r="C151">
        <v>273.52</v>
      </c>
      <c r="D151">
        <v>-57.50333333333333</v>
      </c>
    </row>
    <row r="152" spans="3:4" x14ac:dyDescent="0.25">
      <c r="C152">
        <v>271.68</v>
      </c>
      <c r="D152">
        <v>-56.983333333333327</v>
      </c>
    </row>
    <row r="153" spans="3:4" x14ac:dyDescent="0.25">
      <c r="C153">
        <v>274.51</v>
      </c>
      <c r="D153">
        <v>-56.801666666666669</v>
      </c>
    </row>
    <row r="154" spans="3:4" x14ac:dyDescent="0.25">
      <c r="C154">
        <v>277.86</v>
      </c>
      <c r="D154">
        <v>-56.85</v>
      </c>
    </row>
    <row r="155" spans="3:4" x14ac:dyDescent="0.25">
      <c r="C155">
        <v>278.75</v>
      </c>
      <c r="D155">
        <v>-56.695</v>
      </c>
    </row>
    <row r="156" spans="3:4" x14ac:dyDescent="0.25">
      <c r="C156">
        <v>275.27999999999997</v>
      </c>
      <c r="D156">
        <v>-55.818333333333335</v>
      </c>
    </row>
    <row r="157" spans="3:4" x14ac:dyDescent="0.25">
      <c r="C157">
        <v>271.81</v>
      </c>
      <c r="D157">
        <v>-55.971666666666664</v>
      </c>
    </row>
    <row r="158" spans="3:4" x14ac:dyDescent="0.25">
      <c r="C158">
        <v>269.32</v>
      </c>
      <c r="D158">
        <v>-54.933333333333337</v>
      </c>
    </row>
    <row r="159" spans="3:4" x14ac:dyDescent="0.25">
      <c r="C159">
        <v>266.93</v>
      </c>
      <c r="D159">
        <v>-55.261666666666663</v>
      </c>
    </row>
    <row r="160" spans="3:4" x14ac:dyDescent="0.25">
      <c r="C160">
        <v>265.95999999999998</v>
      </c>
      <c r="D160">
        <v>-56.048333333333339</v>
      </c>
    </row>
    <row r="161" spans="3:4" x14ac:dyDescent="0.25">
      <c r="C161">
        <v>268.01</v>
      </c>
      <c r="D161">
        <v>-55.388333333333328</v>
      </c>
    </row>
    <row r="162" spans="3:4" x14ac:dyDescent="0.25">
      <c r="C162">
        <v>270.06</v>
      </c>
      <c r="D162">
        <v>-54.618333333333332</v>
      </c>
    </row>
    <row r="163" spans="3:4" x14ac:dyDescent="0.25">
      <c r="C163">
        <v>272.11</v>
      </c>
      <c r="D163">
        <v>-54.925000000000004</v>
      </c>
    </row>
    <row r="164" spans="3:4" x14ac:dyDescent="0.25">
      <c r="C164">
        <v>274.16000000000003</v>
      </c>
      <c r="D164">
        <v>-54.678333333333335</v>
      </c>
    </row>
    <row r="165" spans="3:4" x14ac:dyDescent="0.25">
      <c r="C165">
        <v>273.23</v>
      </c>
      <c r="D165">
        <v>-55.011666666666663</v>
      </c>
    </row>
    <row r="166" spans="3:4" x14ac:dyDescent="0.25">
      <c r="C166">
        <v>270.22000000000003</v>
      </c>
      <c r="D166">
        <v>-54.721666666666664</v>
      </c>
    </row>
    <row r="167" spans="3:4" x14ac:dyDescent="0.25">
      <c r="C167">
        <v>267.22000000000003</v>
      </c>
      <c r="D167">
        <v>-53.843333333333334</v>
      </c>
    </row>
    <row r="168" spans="3:4" x14ac:dyDescent="0.25">
      <c r="C168">
        <v>269.27</v>
      </c>
      <c r="D168">
        <v>-53.09</v>
      </c>
    </row>
    <row r="169" spans="3:4" x14ac:dyDescent="0.25">
      <c r="C169">
        <v>272.92</v>
      </c>
      <c r="D169">
        <v>-53.358333333333327</v>
      </c>
    </row>
    <row r="170" spans="3:4" x14ac:dyDescent="0.25">
      <c r="C170">
        <v>273.44</v>
      </c>
      <c r="D170">
        <v>-52.330000000000005</v>
      </c>
    </row>
    <row r="171" spans="3:4" x14ac:dyDescent="0.25">
      <c r="C171">
        <v>269.81</v>
      </c>
      <c r="D171">
        <v>-53.585000000000001</v>
      </c>
    </row>
    <row r="172" spans="3:4" x14ac:dyDescent="0.25">
      <c r="C172">
        <v>266.18</v>
      </c>
      <c r="D172">
        <v>-55.648333333333333</v>
      </c>
    </row>
    <row r="173" spans="3:4" x14ac:dyDescent="0.25">
      <c r="C173">
        <v>277.41000000000003</v>
      </c>
      <c r="D173">
        <v>-53.906666666666666</v>
      </c>
    </row>
    <row r="174" spans="3:4" x14ac:dyDescent="0.25">
      <c r="C174">
        <v>289.42</v>
      </c>
      <c r="D174">
        <v>-55.034999999999997</v>
      </c>
    </row>
    <row r="175" spans="3:4" x14ac:dyDescent="0.25">
      <c r="C175">
        <v>291.70999999999998</v>
      </c>
      <c r="D175">
        <v>-55.943333333333335</v>
      </c>
    </row>
    <row r="176" spans="3:4" x14ac:dyDescent="0.25">
      <c r="C176">
        <v>280.02</v>
      </c>
      <c r="D176">
        <v>-57.925000000000004</v>
      </c>
    </row>
    <row r="177" spans="3:4" x14ac:dyDescent="0.25">
      <c r="C177">
        <v>268.33999999999997</v>
      </c>
      <c r="D177">
        <v>-58.29</v>
      </c>
    </row>
    <row r="178" spans="3:4" x14ac:dyDescent="0.25">
      <c r="C178">
        <v>260</v>
      </c>
      <c r="D178">
        <v>-59.506666666666668</v>
      </c>
    </row>
    <row r="179" spans="3:4" x14ac:dyDescent="0.25">
      <c r="C179">
        <v>252.5</v>
      </c>
      <c r="D179">
        <v>-61.113333333333337</v>
      </c>
    </row>
    <row r="180" spans="3:4" x14ac:dyDescent="0.25">
      <c r="C180">
        <v>245</v>
      </c>
      <c r="D180">
        <v>-62.844999999999999</v>
      </c>
    </row>
    <row r="181" spans="3:4" x14ac:dyDescent="0.25">
      <c r="C181">
        <v>237.51</v>
      </c>
      <c r="D181">
        <v>-63.306666666666665</v>
      </c>
    </row>
    <row r="182" spans="3:4" x14ac:dyDescent="0.25">
      <c r="C182">
        <v>230.31</v>
      </c>
      <c r="D182">
        <v>-63.055</v>
      </c>
    </row>
    <row r="183" spans="3:4" x14ac:dyDescent="0.25">
      <c r="C183">
        <v>225.05</v>
      </c>
      <c r="D183">
        <v>-64.95</v>
      </c>
    </row>
    <row r="184" spans="3:4" x14ac:dyDescent="0.25">
      <c r="C184">
        <v>219.79</v>
      </c>
      <c r="D184">
        <v>-64.898333333333326</v>
      </c>
    </row>
    <row r="185" spans="3:4" x14ac:dyDescent="0.25">
      <c r="C185">
        <v>211.62</v>
      </c>
      <c r="D185">
        <v>-63.914999999999999</v>
      </c>
    </row>
    <row r="186" spans="3:4" x14ac:dyDescent="0.25">
      <c r="C186">
        <v>200.16</v>
      </c>
      <c r="D186">
        <v>-64.166666666666671</v>
      </c>
    </row>
    <row r="187" spans="3:4" x14ac:dyDescent="0.25">
      <c r="C187">
        <v>191.69</v>
      </c>
      <c r="D187">
        <v>-63.918333333333329</v>
      </c>
    </row>
    <row r="188" spans="3:4" x14ac:dyDescent="0.25">
      <c r="C188">
        <v>195.12</v>
      </c>
      <c r="D188">
        <v>-64.788333333333341</v>
      </c>
    </row>
    <row r="189" spans="3:4" x14ac:dyDescent="0.25">
      <c r="C189">
        <v>198.55</v>
      </c>
      <c r="D189">
        <v>-63.966666666666669</v>
      </c>
    </row>
    <row r="190" spans="3:4" x14ac:dyDescent="0.25">
      <c r="C190">
        <v>198.89</v>
      </c>
      <c r="D190">
        <v>-64.678333333333327</v>
      </c>
    </row>
    <row r="191" spans="3:4" x14ac:dyDescent="0.25">
      <c r="C191">
        <v>195.15</v>
      </c>
      <c r="D191">
        <v>-64.179999999999993</v>
      </c>
    </row>
    <row r="192" spans="3:4" x14ac:dyDescent="0.25">
      <c r="C192">
        <v>191.41</v>
      </c>
      <c r="D192">
        <v>-64.923333333333332</v>
      </c>
    </row>
    <row r="193" spans="3:4" x14ac:dyDescent="0.25">
      <c r="C193">
        <v>192.8</v>
      </c>
      <c r="D193">
        <v>-64.208333333333329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B3627-9A64-41FA-B434-FC600957BB6D}">
  <dimension ref="A1:I202"/>
  <sheetViews>
    <sheetView topLeftCell="A4" workbookViewId="0">
      <selection activeCell="J16" sqref="J16"/>
    </sheetView>
  </sheetViews>
  <sheetFormatPr defaultColWidth="10" defaultRowHeight="15" x14ac:dyDescent="0.25"/>
  <cols>
    <col min="1" max="1" width="13.140625" customWidth="1"/>
    <col min="2" max="2" width="14.7109375" customWidth="1"/>
    <col min="3" max="4" width="11" customWidth="1"/>
    <col min="5" max="5" width="11.85546875" customWidth="1"/>
    <col min="6" max="7" width="11" customWidth="1"/>
    <col min="257" max="257" width="11" customWidth="1"/>
    <col min="258" max="258" width="11.42578125" customWidth="1"/>
    <col min="259" max="260" width="11" customWidth="1"/>
    <col min="261" max="261" width="11.85546875" customWidth="1"/>
    <col min="262" max="263" width="11" customWidth="1"/>
    <col min="513" max="513" width="11" customWidth="1"/>
    <col min="514" max="514" width="11.42578125" customWidth="1"/>
    <col min="515" max="516" width="11" customWidth="1"/>
    <col min="517" max="517" width="11.85546875" customWidth="1"/>
    <col min="518" max="519" width="11" customWidth="1"/>
    <col min="769" max="769" width="11" customWidth="1"/>
    <col min="770" max="770" width="11.42578125" customWidth="1"/>
    <col min="771" max="772" width="11" customWidth="1"/>
    <col min="773" max="773" width="11.85546875" customWidth="1"/>
    <col min="774" max="775" width="11" customWidth="1"/>
    <col min="1025" max="1025" width="11" customWidth="1"/>
    <col min="1026" max="1026" width="11.42578125" customWidth="1"/>
    <col min="1027" max="1028" width="11" customWidth="1"/>
    <col min="1029" max="1029" width="11.85546875" customWidth="1"/>
    <col min="1030" max="1031" width="11" customWidth="1"/>
    <col min="1281" max="1281" width="11" customWidth="1"/>
    <col min="1282" max="1282" width="11.42578125" customWidth="1"/>
    <col min="1283" max="1284" width="11" customWidth="1"/>
    <col min="1285" max="1285" width="11.85546875" customWidth="1"/>
    <col min="1286" max="1287" width="11" customWidth="1"/>
    <col min="1537" max="1537" width="11" customWidth="1"/>
    <col min="1538" max="1538" width="11.42578125" customWidth="1"/>
    <col min="1539" max="1540" width="11" customWidth="1"/>
    <col min="1541" max="1541" width="11.85546875" customWidth="1"/>
    <col min="1542" max="1543" width="11" customWidth="1"/>
    <col min="1793" max="1793" width="11" customWidth="1"/>
    <col min="1794" max="1794" width="11.42578125" customWidth="1"/>
    <col min="1795" max="1796" width="11" customWidth="1"/>
    <col min="1797" max="1797" width="11.85546875" customWidth="1"/>
    <col min="1798" max="1799" width="11" customWidth="1"/>
    <col min="2049" max="2049" width="11" customWidth="1"/>
    <col min="2050" max="2050" width="11.42578125" customWidth="1"/>
    <col min="2051" max="2052" width="11" customWidth="1"/>
    <col min="2053" max="2053" width="11.85546875" customWidth="1"/>
    <col min="2054" max="2055" width="11" customWidth="1"/>
    <col min="2305" max="2305" width="11" customWidth="1"/>
    <col min="2306" max="2306" width="11.42578125" customWidth="1"/>
    <col min="2307" max="2308" width="11" customWidth="1"/>
    <col min="2309" max="2309" width="11.85546875" customWidth="1"/>
    <col min="2310" max="2311" width="11" customWidth="1"/>
    <col min="2561" max="2561" width="11" customWidth="1"/>
    <col min="2562" max="2562" width="11.42578125" customWidth="1"/>
    <col min="2563" max="2564" width="11" customWidth="1"/>
    <col min="2565" max="2565" width="11.85546875" customWidth="1"/>
    <col min="2566" max="2567" width="11" customWidth="1"/>
    <col min="2817" max="2817" width="11" customWidth="1"/>
    <col min="2818" max="2818" width="11.42578125" customWidth="1"/>
    <col min="2819" max="2820" width="11" customWidth="1"/>
    <col min="2821" max="2821" width="11.85546875" customWidth="1"/>
    <col min="2822" max="2823" width="11" customWidth="1"/>
    <col min="3073" max="3073" width="11" customWidth="1"/>
    <col min="3074" max="3074" width="11.42578125" customWidth="1"/>
    <col min="3075" max="3076" width="11" customWidth="1"/>
    <col min="3077" max="3077" width="11.85546875" customWidth="1"/>
    <col min="3078" max="3079" width="11" customWidth="1"/>
    <col min="3329" max="3329" width="11" customWidth="1"/>
    <col min="3330" max="3330" width="11.42578125" customWidth="1"/>
    <col min="3331" max="3332" width="11" customWidth="1"/>
    <col min="3333" max="3333" width="11.85546875" customWidth="1"/>
    <col min="3334" max="3335" width="11" customWidth="1"/>
    <col min="3585" max="3585" width="11" customWidth="1"/>
    <col min="3586" max="3586" width="11.42578125" customWidth="1"/>
    <col min="3587" max="3588" width="11" customWidth="1"/>
    <col min="3589" max="3589" width="11.85546875" customWidth="1"/>
    <col min="3590" max="3591" width="11" customWidth="1"/>
    <col min="3841" max="3841" width="11" customWidth="1"/>
    <col min="3842" max="3842" width="11.42578125" customWidth="1"/>
    <col min="3843" max="3844" width="11" customWidth="1"/>
    <col min="3845" max="3845" width="11.85546875" customWidth="1"/>
    <col min="3846" max="3847" width="11" customWidth="1"/>
    <col min="4097" max="4097" width="11" customWidth="1"/>
    <col min="4098" max="4098" width="11.42578125" customWidth="1"/>
    <col min="4099" max="4100" width="11" customWidth="1"/>
    <col min="4101" max="4101" width="11.85546875" customWidth="1"/>
    <col min="4102" max="4103" width="11" customWidth="1"/>
    <col min="4353" max="4353" width="11" customWidth="1"/>
    <col min="4354" max="4354" width="11.42578125" customWidth="1"/>
    <col min="4355" max="4356" width="11" customWidth="1"/>
    <col min="4357" max="4357" width="11.85546875" customWidth="1"/>
    <col min="4358" max="4359" width="11" customWidth="1"/>
    <col min="4609" max="4609" width="11" customWidth="1"/>
    <col min="4610" max="4610" width="11.42578125" customWidth="1"/>
    <col min="4611" max="4612" width="11" customWidth="1"/>
    <col min="4613" max="4613" width="11.85546875" customWidth="1"/>
    <col min="4614" max="4615" width="11" customWidth="1"/>
    <col min="4865" max="4865" width="11" customWidth="1"/>
    <col min="4866" max="4866" width="11.42578125" customWidth="1"/>
    <col min="4867" max="4868" width="11" customWidth="1"/>
    <col min="4869" max="4869" width="11.85546875" customWidth="1"/>
    <col min="4870" max="4871" width="11" customWidth="1"/>
    <col min="5121" max="5121" width="11" customWidth="1"/>
    <col min="5122" max="5122" width="11.42578125" customWidth="1"/>
    <col min="5123" max="5124" width="11" customWidth="1"/>
    <col min="5125" max="5125" width="11.85546875" customWidth="1"/>
    <col min="5126" max="5127" width="11" customWidth="1"/>
    <col min="5377" max="5377" width="11" customWidth="1"/>
    <col min="5378" max="5378" width="11.42578125" customWidth="1"/>
    <col min="5379" max="5380" width="11" customWidth="1"/>
    <col min="5381" max="5381" width="11.85546875" customWidth="1"/>
    <col min="5382" max="5383" width="11" customWidth="1"/>
    <col min="5633" max="5633" width="11" customWidth="1"/>
    <col min="5634" max="5634" width="11.42578125" customWidth="1"/>
    <col min="5635" max="5636" width="11" customWidth="1"/>
    <col min="5637" max="5637" width="11.85546875" customWidth="1"/>
    <col min="5638" max="5639" width="11" customWidth="1"/>
    <col min="5889" max="5889" width="11" customWidth="1"/>
    <col min="5890" max="5890" width="11.42578125" customWidth="1"/>
    <col min="5891" max="5892" width="11" customWidth="1"/>
    <col min="5893" max="5893" width="11.85546875" customWidth="1"/>
    <col min="5894" max="5895" width="11" customWidth="1"/>
    <col min="6145" max="6145" width="11" customWidth="1"/>
    <col min="6146" max="6146" width="11.42578125" customWidth="1"/>
    <col min="6147" max="6148" width="11" customWidth="1"/>
    <col min="6149" max="6149" width="11.85546875" customWidth="1"/>
    <col min="6150" max="6151" width="11" customWidth="1"/>
    <col min="6401" max="6401" width="11" customWidth="1"/>
    <col min="6402" max="6402" width="11.42578125" customWidth="1"/>
    <col min="6403" max="6404" width="11" customWidth="1"/>
    <col min="6405" max="6405" width="11.85546875" customWidth="1"/>
    <col min="6406" max="6407" width="11" customWidth="1"/>
    <col min="6657" max="6657" width="11" customWidth="1"/>
    <col min="6658" max="6658" width="11.42578125" customWidth="1"/>
    <col min="6659" max="6660" width="11" customWidth="1"/>
    <col min="6661" max="6661" width="11.85546875" customWidth="1"/>
    <col min="6662" max="6663" width="11" customWidth="1"/>
    <col min="6913" max="6913" width="11" customWidth="1"/>
    <col min="6914" max="6914" width="11.42578125" customWidth="1"/>
    <col min="6915" max="6916" width="11" customWidth="1"/>
    <col min="6917" max="6917" width="11.85546875" customWidth="1"/>
    <col min="6918" max="6919" width="11" customWidth="1"/>
    <col min="7169" max="7169" width="11" customWidth="1"/>
    <col min="7170" max="7170" width="11.42578125" customWidth="1"/>
    <col min="7171" max="7172" width="11" customWidth="1"/>
    <col min="7173" max="7173" width="11.85546875" customWidth="1"/>
    <col min="7174" max="7175" width="11" customWidth="1"/>
    <col min="7425" max="7425" width="11" customWidth="1"/>
    <col min="7426" max="7426" width="11.42578125" customWidth="1"/>
    <col min="7427" max="7428" width="11" customWidth="1"/>
    <col min="7429" max="7429" width="11.85546875" customWidth="1"/>
    <col min="7430" max="7431" width="11" customWidth="1"/>
    <col min="7681" max="7681" width="11" customWidth="1"/>
    <col min="7682" max="7682" width="11.42578125" customWidth="1"/>
    <col min="7683" max="7684" width="11" customWidth="1"/>
    <col min="7685" max="7685" width="11.85546875" customWidth="1"/>
    <col min="7686" max="7687" width="11" customWidth="1"/>
    <col min="7937" max="7937" width="11" customWidth="1"/>
    <col min="7938" max="7938" width="11.42578125" customWidth="1"/>
    <col min="7939" max="7940" width="11" customWidth="1"/>
    <col min="7941" max="7941" width="11.85546875" customWidth="1"/>
    <col min="7942" max="7943" width="11" customWidth="1"/>
    <col min="8193" max="8193" width="11" customWidth="1"/>
    <col min="8194" max="8194" width="11.42578125" customWidth="1"/>
    <col min="8195" max="8196" width="11" customWidth="1"/>
    <col min="8197" max="8197" width="11.85546875" customWidth="1"/>
    <col min="8198" max="8199" width="11" customWidth="1"/>
    <col min="8449" max="8449" width="11" customWidth="1"/>
    <col min="8450" max="8450" width="11.42578125" customWidth="1"/>
    <col min="8451" max="8452" width="11" customWidth="1"/>
    <col min="8453" max="8453" width="11.85546875" customWidth="1"/>
    <col min="8454" max="8455" width="11" customWidth="1"/>
    <col min="8705" max="8705" width="11" customWidth="1"/>
    <col min="8706" max="8706" width="11.42578125" customWidth="1"/>
    <col min="8707" max="8708" width="11" customWidth="1"/>
    <col min="8709" max="8709" width="11.85546875" customWidth="1"/>
    <col min="8710" max="8711" width="11" customWidth="1"/>
    <col min="8961" max="8961" width="11" customWidth="1"/>
    <col min="8962" max="8962" width="11.42578125" customWidth="1"/>
    <col min="8963" max="8964" width="11" customWidth="1"/>
    <col min="8965" max="8965" width="11.85546875" customWidth="1"/>
    <col min="8966" max="8967" width="11" customWidth="1"/>
    <col min="9217" max="9217" width="11" customWidth="1"/>
    <col min="9218" max="9218" width="11.42578125" customWidth="1"/>
    <col min="9219" max="9220" width="11" customWidth="1"/>
    <col min="9221" max="9221" width="11.85546875" customWidth="1"/>
    <col min="9222" max="9223" width="11" customWidth="1"/>
    <col min="9473" max="9473" width="11" customWidth="1"/>
    <col min="9474" max="9474" width="11.42578125" customWidth="1"/>
    <col min="9475" max="9476" width="11" customWidth="1"/>
    <col min="9477" max="9477" width="11.85546875" customWidth="1"/>
    <col min="9478" max="9479" width="11" customWidth="1"/>
    <col min="9729" max="9729" width="11" customWidth="1"/>
    <col min="9730" max="9730" width="11.42578125" customWidth="1"/>
    <col min="9731" max="9732" width="11" customWidth="1"/>
    <col min="9733" max="9733" width="11.85546875" customWidth="1"/>
    <col min="9734" max="9735" width="11" customWidth="1"/>
    <col min="9985" max="9985" width="11" customWidth="1"/>
    <col min="9986" max="9986" width="11.42578125" customWidth="1"/>
    <col min="9987" max="9988" width="11" customWidth="1"/>
    <col min="9989" max="9989" width="11.85546875" customWidth="1"/>
    <col min="9990" max="9991" width="11" customWidth="1"/>
    <col min="10241" max="10241" width="11" customWidth="1"/>
    <col min="10242" max="10242" width="11.42578125" customWidth="1"/>
    <col min="10243" max="10244" width="11" customWidth="1"/>
    <col min="10245" max="10245" width="11.85546875" customWidth="1"/>
    <col min="10246" max="10247" width="11" customWidth="1"/>
    <col min="10497" max="10497" width="11" customWidth="1"/>
    <col min="10498" max="10498" width="11.42578125" customWidth="1"/>
    <col min="10499" max="10500" width="11" customWidth="1"/>
    <col min="10501" max="10501" width="11.85546875" customWidth="1"/>
    <col min="10502" max="10503" width="11" customWidth="1"/>
    <col min="10753" max="10753" width="11" customWidth="1"/>
    <col min="10754" max="10754" width="11.42578125" customWidth="1"/>
    <col min="10755" max="10756" width="11" customWidth="1"/>
    <col min="10757" max="10757" width="11.85546875" customWidth="1"/>
    <col min="10758" max="10759" width="11" customWidth="1"/>
    <col min="11009" max="11009" width="11" customWidth="1"/>
    <col min="11010" max="11010" width="11.42578125" customWidth="1"/>
    <col min="11011" max="11012" width="11" customWidth="1"/>
    <col min="11013" max="11013" width="11.85546875" customWidth="1"/>
    <col min="11014" max="11015" width="11" customWidth="1"/>
    <col min="11265" max="11265" width="11" customWidth="1"/>
    <col min="11266" max="11266" width="11.42578125" customWidth="1"/>
    <col min="11267" max="11268" width="11" customWidth="1"/>
    <col min="11269" max="11269" width="11.85546875" customWidth="1"/>
    <col min="11270" max="11271" width="11" customWidth="1"/>
    <col min="11521" max="11521" width="11" customWidth="1"/>
    <col min="11522" max="11522" width="11.42578125" customWidth="1"/>
    <col min="11523" max="11524" width="11" customWidth="1"/>
    <col min="11525" max="11525" width="11.85546875" customWidth="1"/>
    <col min="11526" max="11527" width="11" customWidth="1"/>
    <col min="11777" max="11777" width="11" customWidth="1"/>
    <col min="11778" max="11778" width="11.42578125" customWidth="1"/>
    <col min="11779" max="11780" width="11" customWidth="1"/>
    <col min="11781" max="11781" width="11.85546875" customWidth="1"/>
    <col min="11782" max="11783" width="11" customWidth="1"/>
    <col min="12033" max="12033" width="11" customWidth="1"/>
    <col min="12034" max="12034" width="11.42578125" customWidth="1"/>
    <col min="12035" max="12036" width="11" customWidth="1"/>
    <col min="12037" max="12037" width="11.85546875" customWidth="1"/>
    <col min="12038" max="12039" width="11" customWidth="1"/>
    <col min="12289" max="12289" width="11" customWidth="1"/>
    <col min="12290" max="12290" width="11.42578125" customWidth="1"/>
    <col min="12291" max="12292" width="11" customWidth="1"/>
    <col min="12293" max="12293" width="11.85546875" customWidth="1"/>
    <col min="12294" max="12295" width="11" customWidth="1"/>
    <col min="12545" max="12545" width="11" customWidth="1"/>
    <col min="12546" max="12546" width="11.42578125" customWidth="1"/>
    <col min="12547" max="12548" width="11" customWidth="1"/>
    <col min="12549" max="12549" width="11.85546875" customWidth="1"/>
    <col min="12550" max="12551" width="11" customWidth="1"/>
    <col min="12801" max="12801" width="11" customWidth="1"/>
    <col min="12802" max="12802" width="11.42578125" customWidth="1"/>
    <col min="12803" max="12804" width="11" customWidth="1"/>
    <col min="12805" max="12805" width="11.85546875" customWidth="1"/>
    <col min="12806" max="12807" width="11" customWidth="1"/>
    <col min="13057" max="13057" width="11" customWidth="1"/>
    <col min="13058" max="13058" width="11.42578125" customWidth="1"/>
    <col min="13059" max="13060" width="11" customWidth="1"/>
    <col min="13061" max="13061" width="11.85546875" customWidth="1"/>
    <col min="13062" max="13063" width="11" customWidth="1"/>
    <col min="13313" max="13313" width="11" customWidth="1"/>
    <col min="13314" max="13314" width="11.42578125" customWidth="1"/>
    <col min="13315" max="13316" width="11" customWidth="1"/>
    <col min="13317" max="13317" width="11.85546875" customWidth="1"/>
    <col min="13318" max="13319" width="11" customWidth="1"/>
    <col min="13569" max="13569" width="11" customWidth="1"/>
    <col min="13570" max="13570" width="11.42578125" customWidth="1"/>
    <col min="13571" max="13572" width="11" customWidth="1"/>
    <col min="13573" max="13573" width="11.85546875" customWidth="1"/>
    <col min="13574" max="13575" width="11" customWidth="1"/>
    <col min="13825" max="13825" width="11" customWidth="1"/>
    <col min="13826" max="13826" width="11.42578125" customWidth="1"/>
    <col min="13827" max="13828" width="11" customWidth="1"/>
    <col min="13829" max="13829" width="11.85546875" customWidth="1"/>
    <col min="13830" max="13831" width="11" customWidth="1"/>
    <col min="14081" max="14081" width="11" customWidth="1"/>
    <col min="14082" max="14082" width="11.42578125" customWidth="1"/>
    <col min="14083" max="14084" width="11" customWidth="1"/>
    <col min="14085" max="14085" width="11.85546875" customWidth="1"/>
    <col min="14086" max="14087" width="11" customWidth="1"/>
    <col min="14337" max="14337" width="11" customWidth="1"/>
    <col min="14338" max="14338" width="11.42578125" customWidth="1"/>
    <col min="14339" max="14340" width="11" customWidth="1"/>
    <col min="14341" max="14341" width="11.85546875" customWidth="1"/>
    <col min="14342" max="14343" width="11" customWidth="1"/>
    <col min="14593" max="14593" width="11" customWidth="1"/>
    <col min="14594" max="14594" width="11.42578125" customWidth="1"/>
    <col min="14595" max="14596" width="11" customWidth="1"/>
    <col min="14597" max="14597" width="11.85546875" customWidth="1"/>
    <col min="14598" max="14599" width="11" customWidth="1"/>
    <col min="14849" max="14849" width="11" customWidth="1"/>
    <col min="14850" max="14850" width="11.42578125" customWidth="1"/>
    <col min="14851" max="14852" width="11" customWidth="1"/>
    <col min="14853" max="14853" width="11.85546875" customWidth="1"/>
    <col min="14854" max="14855" width="11" customWidth="1"/>
    <col min="15105" max="15105" width="11" customWidth="1"/>
    <col min="15106" max="15106" width="11.42578125" customWidth="1"/>
    <col min="15107" max="15108" width="11" customWidth="1"/>
    <col min="15109" max="15109" width="11.85546875" customWidth="1"/>
    <col min="15110" max="15111" width="11" customWidth="1"/>
    <col min="15361" max="15361" width="11" customWidth="1"/>
    <col min="15362" max="15362" width="11.42578125" customWidth="1"/>
    <col min="15363" max="15364" width="11" customWidth="1"/>
    <col min="15365" max="15365" width="11.85546875" customWidth="1"/>
    <col min="15366" max="15367" width="11" customWidth="1"/>
    <col min="15617" max="15617" width="11" customWidth="1"/>
    <col min="15618" max="15618" width="11.42578125" customWidth="1"/>
    <col min="15619" max="15620" width="11" customWidth="1"/>
    <col min="15621" max="15621" width="11.85546875" customWidth="1"/>
    <col min="15622" max="15623" width="11" customWidth="1"/>
    <col min="15873" max="15873" width="11" customWidth="1"/>
    <col min="15874" max="15874" width="11.42578125" customWidth="1"/>
    <col min="15875" max="15876" width="11" customWidth="1"/>
    <col min="15877" max="15877" width="11.85546875" customWidth="1"/>
    <col min="15878" max="15879" width="11" customWidth="1"/>
    <col min="16129" max="16129" width="11" customWidth="1"/>
    <col min="16130" max="16130" width="11.42578125" customWidth="1"/>
    <col min="16131" max="16132" width="11" customWidth="1"/>
    <col min="16133" max="16133" width="11.85546875" customWidth="1"/>
    <col min="16134" max="16135" width="11" customWidth="1"/>
  </cols>
  <sheetData>
    <row r="1" spans="1:9" x14ac:dyDescent="0.25">
      <c r="A1" s="11" t="s">
        <v>9</v>
      </c>
    </row>
    <row r="2" spans="1:9" x14ac:dyDescent="0.25">
      <c r="A2" s="11"/>
    </row>
    <row r="3" spans="1:9" x14ac:dyDescent="0.25">
      <c r="A3" s="11" t="s">
        <v>10</v>
      </c>
    </row>
    <row r="10" spans="1:9" ht="38.25" x14ac:dyDescent="0.25">
      <c r="A10" s="14" t="s">
        <v>11</v>
      </c>
      <c r="B10" s="13" t="s">
        <v>12</v>
      </c>
      <c r="C10" s="13" t="s">
        <v>13</v>
      </c>
      <c r="D10" s="13" t="s">
        <v>14</v>
      </c>
      <c r="E10" s="13" t="s">
        <v>15</v>
      </c>
      <c r="F10" s="13" t="s">
        <v>16</v>
      </c>
      <c r="G10" s="13" t="s">
        <v>17</v>
      </c>
      <c r="H10" s="13"/>
      <c r="I10" s="13"/>
    </row>
    <row r="11" spans="1:9" x14ac:dyDescent="0.25">
      <c r="A11">
        <v>150</v>
      </c>
      <c r="B11">
        <v>5.0599999999999996</v>
      </c>
      <c r="C11">
        <v>-439.72</v>
      </c>
      <c r="D11">
        <v>11</v>
      </c>
      <c r="E11">
        <v>2.66</v>
      </c>
      <c r="F11">
        <v>272.14</v>
      </c>
      <c r="G11">
        <v>666.93</v>
      </c>
    </row>
    <row r="12" spans="1:9" x14ac:dyDescent="0.25">
      <c r="A12">
        <v>160</v>
      </c>
      <c r="B12">
        <v>5.45</v>
      </c>
      <c r="C12">
        <v>-441.88</v>
      </c>
      <c r="D12">
        <v>7.47</v>
      </c>
      <c r="E12">
        <v>3.04</v>
      </c>
      <c r="F12">
        <v>271.22000000000003</v>
      </c>
      <c r="G12">
        <v>653.54</v>
      </c>
    </row>
    <row r="13" spans="1:9" x14ac:dyDescent="0.25">
      <c r="A13">
        <v>170</v>
      </c>
      <c r="B13">
        <v>5.85</v>
      </c>
      <c r="C13">
        <v>-434.77</v>
      </c>
      <c r="D13">
        <v>6.13</v>
      </c>
      <c r="E13">
        <v>3.41</v>
      </c>
      <c r="F13">
        <v>270.29000000000002</v>
      </c>
      <c r="G13">
        <v>640.15</v>
      </c>
    </row>
    <row r="14" spans="1:9" x14ac:dyDescent="0.25">
      <c r="A14">
        <v>180</v>
      </c>
      <c r="B14">
        <v>6.27</v>
      </c>
      <c r="C14">
        <v>-440.36</v>
      </c>
      <c r="D14">
        <v>11.57</v>
      </c>
      <c r="E14">
        <v>3.82</v>
      </c>
      <c r="F14">
        <v>268.39</v>
      </c>
      <c r="G14">
        <v>594.65</v>
      </c>
    </row>
    <row r="15" spans="1:9" x14ac:dyDescent="0.25">
      <c r="A15">
        <v>190</v>
      </c>
      <c r="B15">
        <v>6.7</v>
      </c>
      <c r="C15">
        <v>-441.26</v>
      </c>
      <c r="D15">
        <v>10.33</v>
      </c>
      <c r="E15">
        <v>4.25</v>
      </c>
      <c r="F15">
        <v>266.06</v>
      </c>
      <c r="G15">
        <v>593.28</v>
      </c>
    </row>
    <row r="16" spans="1:9" x14ac:dyDescent="0.25">
      <c r="A16">
        <v>200</v>
      </c>
      <c r="B16">
        <v>7.14</v>
      </c>
      <c r="C16">
        <v>-423.85</v>
      </c>
      <c r="D16">
        <v>15</v>
      </c>
      <c r="E16">
        <v>4.67</v>
      </c>
      <c r="F16">
        <v>263.73</v>
      </c>
      <c r="G16">
        <v>591.91999999999996</v>
      </c>
    </row>
    <row r="17" spans="1:7" x14ac:dyDescent="0.25">
      <c r="A17">
        <v>210</v>
      </c>
      <c r="B17">
        <v>7.57</v>
      </c>
      <c r="C17">
        <v>-438.79</v>
      </c>
      <c r="D17">
        <v>15.48</v>
      </c>
      <c r="E17">
        <v>5.09</v>
      </c>
      <c r="F17">
        <v>261.39999999999998</v>
      </c>
      <c r="G17">
        <v>590.54999999999995</v>
      </c>
    </row>
    <row r="18" spans="1:7" x14ac:dyDescent="0.25">
      <c r="A18">
        <v>220</v>
      </c>
      <c r="B18">
        <v>8.01</v>
      </c>
      <c r="C18">
        <v>-438.94</v>
      </c>
      <c r="D18">
        <v>15.95</v>
      </c>
      <c r="E18">
        <v>5.52</v>
      </c>
      <c r="F18">
        <v>259.06</v>
      </c>
      <c r="G18">
        <v>589.19000000000005</v>
      </c>
    </row>
    <row r="19" spans="1:7" x14ac:dyDescent="0.25">
      <c r="A19">
        <v>230</v>
      </c>
      <c r="B19">
        <v>8.44</v>
      </c>
      <c r="C19">
        <v>-435.7</v>
      </c>
      <c r="D19">
        <v>16.75</v>
      </c>
      <c r="E19">
        <v>5.94</v>
      </c>
      <c r="F19">
        <v>256.73</v>
      </c>
      <c r="G19">
        <v>585.64</v>
      </c>
    </row>
    <row r="20" spans="1:7" x14ac:dyDescent="0.25">
      <c r="A20">
        <v>240</v>
      </c>
      <c r="B20">
        <v>8.8699999999999992</v>
      </c>
      <c r="C20">
        <v>-434.32</v>
      </c>
      <c r="D20">
        <v>10.25</v>
      </c>
      <c r="E20">
        <v>6.36</v>
      </c>
      <c r="F20">
        <v>254.4</v>
      </c>
      <c r="G20">
        <v>579.11</v>
      </c>
    </row>
    <row r="21" spans="1:7" x14ac:dyDescent="0.25">
      <c r="A21">
        <v>250</v>
      </c>
      <c r="B21">
        <v>9.31</v>
      </c>
      <c r="C21">
        <v>-439.38</v>
      </c>
      <c r="D21">
        <v>12</v>
      </c>
      <c r="E21">
        <v>6.79</v>
      </c>
      <c r="F21">
        <v>252.07</v>
      </c>
      <c r="G21">
        <v>593.29999999999995</v>
      </c>
    </row>
    <row r="22" spans="1:7" x14ac:dyDescent="0.25">
      <c r="A22">
        <v>260</v>
      </c>
      <c r="B22">
        <v>9.76</v>
      </c>
      <c r="C22">
        <v>-435.64</v>
      </c>
      <c r="D22">
        <v>16.75</v>
      </c>
      <c r="E22">
        <v>7.23</v>
      </c>
      <c r="F22">
        <v>255.09</v>
      </c>
      <c r="G22">
        <v>607.49</v>
      </c>
    </row>
    <row r="23" spans="1:7" x14ac:dyDescent="0.25">
      <c r="A23">
        <v>270</v>
      </c>
      <c r="B23">
        <v>10.24</v>
      </c>
      <c r="C23">
        <v>-443.25</v>
      </c>
      <c r="D23">
        <v>19.29</v>
      </c>
      <c r="E23">
        <v>7.68</v>
      </c>
      <c r="F23">
        <v>257.22000000000003</v>
      </c>
      <c r="G23">
        <v>621.4</v>
      </c>
    </row>
    <row r="24" spans="1:7" x14ac:dyDescent="0.25">
      <c r="A24">
        <v>280</v>
      </c>
      <c r="B24">
        <v>10.74</v>
      </c>
      <c r="C24">
        <v>-454.11</v>
      </c>
      <c r="D24">
        <v>12</v>
      </c>
      <c r="E24">
        <v>8.1300000000000008</v>
      </c>
      <c r="F24">
        <v>257.77</v>
      </c>
      <c r="G24">
        <v>634.89</v>
      </c>
    </row>
    <row r="25" spans="1:7" x14ac:dyDescent="0.25">
      <c r="A25">
        <v>290</v>
      </c>
      <c r="B25">
        <v>11.24</v>
      </c>
      <c r="C25">
        <v>-460.28</v>
      </c>
      <c r="D25">
        <v>30</v>
      </c>
      <c r="E25">
        <v>8.58</v>
      </c>
      <c r="F25">
        <v>258.31</v>
      </c>
      <c r="G25">
        <v>648.38</v>
      </c>
    </row>
    <row r="26" spans="1:7" x14ac:dyDescent="0.25">
      <c r="A26">
        <v>300</v>
      </c>
      <c r="B26">
        <v>11.74</v>
      </c>
      <c r="C26">
        <v>-458.56</v>
      </c>
      <c r="D26">
        <v>16</v>
      </c>
      <c r="E26">
        <v>9.02</v>
      </c>
      <c r="F26">
        <v>258.86</v>
      </c>
      <c r="G26">
        <v>661.87</v>
      </c>
    </row>
    <row r="27" spans="1:7" x14ac:dyDescent="0.25">
      <c r="A27">
        <v>310</v>
      </c>
      <c r="B27">
        <v>12.32</v>
      </c>
      <c r="C27">
        <v>-451.23</v>
      </c>
      <c r="D27">
        <v>13</v>
      </c>
      <c r="E27">
        <v>9.52</v>
      </c>
      <c r="F27">
        <v>257.58</v>
      </c>
      <c r="G27">
        <v>650.61</v>
      </c>
    </row>
    <row r="28" spans="1:7" x14ac:dyDescent="0.25">
      <c r="A28">
        <v>320</v>
      </c>
      <c r="B28">
        <v>12.94</v>
      </c>
      <c r="C28">
        <v>-461.94</v>
      </c>
      <c r="D28">
        <v>34</v>
      </c>
      <c r="E28">
        <v>10.039999999999999</v>
      </c>
      <c r="F28">
        <v>255.66</v>
      </c>
      <c r="G28">
        <v>624.16999999999996</v>
      </c>
    </row>
    <row r="29" spans="1:7" x14ac:dyDescent="0.25">
      <c r="A29">
        <v>330</v>
      </c>
      <c r="B29">
        <v>13.55</v>
      </c>
      <c r="C29">
        <v>-470.88</v>
      </c>
      <c r="D29">
        <v>68</v>
      </c>
      <c r="E29">
        <v>10.56</v>
      </c>
      <c r="F29">
        <v>253.75</v>
      </c>
      <c r="G29">
        <v>500.31</v>
      </c>
    </row>
    <row r="30" spans="1:7" x14ac:dyDescent="0.25">
      <c r="A30">
        <v>340</v>
      </c>
      <c r="B30">
        <v>14.17</v>
      </c>
      <c r="C30">
        <v>-476.82</v>
      </c>
      <c r="D30">
        <v>161.5</v>
      </c>
      <c r="E30">
        <v>11.08</v>
      </c>
      <c r="F30">
        <v>251.83</v>
      </c>
      <c r="G30">
        <v>496.15</v>
      </c>
    </row>
    <row r="31" spans="1:7" x14ac:dyDescent="0.25">
      <c r="A31">
        <v>350</v>
      </c>
      <c r="B31">
        <v>14.78</v>
      </c>
      <c r="C31">
        <v>-483.99</v>
      </c>
      <c r="D31">
        <v>255</v>
      </c>
      <c r="E31">
        <v>11.6</v>
      </c>
      <c r="F31">
        <v>249.91</v>
      </c>
      <c r="G31">
        <v>592.5</v>
      </c>
    </row>
    <row r="32" spans="1:7" x14ac:dyDescent="0.25">
      <c r="A32">
        <v>360</v>
      </c>
      <c r="B32">
        <v>15.39</v>
      </c>
      <c r="C32">
        <v>-489.57</v>
      </c>
      <c r="D32">
        <v>325.91000000000003</v>
      </c>
      <c r="E32">
        <v>12.12</v>
      </c>
      <c r="F32">
        <v>247.99</v>
      </c>
      <c r="G32">
        <v>640.33000000000004</v>
      </c>
    </row>
    <row r="33" spans="1:7" x14ac:dyDescent="0.25">
      <c r="A33">
        <v>370</v>
      </c>
      <c r="B33">
        <v>16.010000000000002</v>
      </c>
      <c r="C33">
        <v>-494.94</v>
      </c>
      <c r="D33">
        <v>247.55</v>
      </c>
      <c r="E33">
        <v>12.64</v>
      </c>
      <c r="F33">
        <v>246.07</v>
      </c>
      <c r="G33">
        <v>593.70000000000005</v>
      </c>
    </row>
    <row r="34" spans="1:7" x14ac:dyDescent="0.25">
      <c r="A34">
        <v>380</v>
      </c>
      <c r="B34">
        <v>16.690000000000001</v>
      </c>
      <c r="C34">
        <v>-488.96</v>
      </c>
      <c r="D34">
        <v>484</v>
      </c>
      <c r="E34">
        <v>13.22</v>
      </c>
      <c r="F34">
        <v>240.5</v>
      </c>
      <c r="G34">
        <v>466.61</v>
      </c>
    </row>
    <row r="35" spans="1:7" x14ac:dyDescent="0.25">
      <c r="A35">
        <v>390</v>
      </c>
      <c r="B35">
        <v>17.48</v>
      </c>
      <c r="C35">
        <v>-496.59</v>
      </c>
      <c r="D35">
        <v>436.5</v>
      </c>
      <c r="E35">
        <v>13.87</v>
      </c>
      <c r="F35">
        <v>230.26</v>
      </c>
      <c r="G35">
        <v>435.7</v>
      </c>
    </row>
    <row r="36" spans="1:7" x14ac:dyDescent="0.25">
      <c r="A36">
        <v>400</v>
      </c>
      <c r="B36">
        <v>18.260000000000002</v>
      </c>
      <c r="C36">
        <v>-493.46</v>
      </c>
      <c r="D36">
        <v>389</v>
      </c>
      <c r="E36">
        <v>14.52</v>
      </c>
      <c r="F36">
        <v>220.02</v>
      </c>
      <c r="G36">
        <v>424.48</v>
      </c>
    </row>
    <row r="37" spans="1:7" x14ac:dyDescent="0.25">
      <c r="A37">
        <v>410</v>
      </c>
      <c r="B37">
        <v>19.05</v>
      </c>
      <c r="C37">
        <v>-493.2</v>
      </c>
      <c r="D37">
        <v>522.14</v>
      </c>
      <c r="E37">
        <v>15.18</v>
      </c>
      <c r="F37">
        <v>209.79</v>
      </c>
      <c r="G37">
        <v>413.27</v>
      </c>
    </row>
    <row r="38" spans="1:7" x14ac:dyDescent="0.25">
      <c r="A38">
        <v>420</v>
      </c>
      <c r="B38">
        <v>19.829999999999998</v>
      </c>
      <c r="C38">
        <v>-498.63</v>
      </c>
      <c r="D38">
        <v>347.86</v>
      </c>
      <c r="E38">
        <v>15.83</v>
      </c>
      <c r="F38">
        <v>199.55</v>
      </c>
      <c r="G38">
        <v>402.06</v>
      </c>
    </row>
    <row r="39" spans="1:7" x14ac:dyDescent="0.25">
      <c r="A39">
        <v>430</v>
      </c>
      <c r="B39">
        <v>20.63</v>
      </c>
      <c r="C39">
        <v>-494.72</v>
      </c>
      <c r="D39">
        <v>603.33000000000004</v>
      </c>
      <c r="E39">
        <v>16.54</v>
      </c>
      <c r="F39">
        <v>193.11</v>
      </c>
      <c r="G39">
        <v>388.12</v>
      </c>
    </row>
    <row r="40" spans="1:7" x14ac:dyDescent="0.25">
      <c r="A40">
        <v>440</v>
      </c>
      <c r="B40">
        <v>21.45</v>
      </c>
      <c r="C40">
        <v>-495.59</v>
      </c>
      <c r="D40">
        <v>668.43</v>
      </c>
      <c r="E40">
        <v>17.34</v>
      </c>
      <c r="F40">
        <v>193.43</v>
      </c>
      <c r="G40">
        <v>369.51</v>
      </c>
    </row>
    <row r="41" spans="1:7" x14ac:dyDescent="0.25">
      <c r="A41">
        <v>450</v>
      </c>
      <c r="B41">
        <v>22.28</v>
      </c>
      <c r="C41">
        <v>-487.49</v>
      </c>
      <c r="D41">
        <v>267</v>
      </c>
      <c r="E41">
        <v>18.149999999999999</v>
      </c>
      <c r="F41">
        <v>193.74</v>
      </c>
      <c r="G41">
        <v>356.85</v>
      </c>
    </row>
    <row r="42" spans="1:7" x14ac:dyDescent="0.25">
      <c r="A42">
        <v>460</v>
      </c>
      <c r="B42">
        <v>23.11</v>
      </c>
      <c r="C42">
        <v>-490.4</v>
      </c>
      <c r="D42">
        <v>364</v>
      </c>
      <c r="E42">
        <v>18.95</v>
      </c>
      <c r="F42">
        <v>194.05</v>
      </c>
      <c r="G42">
        <v>353.02</v>
      </c>
    </row>
    <row r="43" spans="1:7" x14ac:dyDescent="0.25">
      <c r="A43">
        <v>470</v>
      </c>
      <c r="B43">
        <v>23.93</v>
      </c>
      <c r="C43">
        <v>-491.81</v>
      </c>
      <c r="D43">
        <v>518.79</v>
      </c>
      <c r="E43">
        <v>19.75</v>
      </c>
      <c r="F43">
        <v>194.37</v>
      </c>
      <c r="G43">
        <v>376.64</v>
      </c>
    </row>
    <row r="44" spans="1:7" x14ac:dyDescent="0.25">
      <c r="A44">
        <v>480</v>
      </c>
      <c r="B44">
        <v>24.76</v>
      </c>
      <c r="C44">
        <v>-496.94</v>
      </c>
      <c r="D44">
        <v>461.71</v>
      </c>
      <c r="E44">
        <v>20.58</v>
      </c>
      <c r="F44">
        <v>195.13</v>
      </c>
      <c r="G44">
        <v>365.26</v>
      </c>
    </row>
    <row r="45" spans="1:7" x14ac:dyDescent="0.25">
      <c r="A45">
        <v>490</v>
      </c>
      <c r="B45">
        <v>25.6</v>
      </c>
      <c r="C45">
        <v>-489.53</v>
      </c>
      <c r="D45">
        <v>263.47000000000003</v>
      </c>
      <c r="E45">
        <v>21.42</v>
      </c>
      <c r="F45">
        <v>196.21</v>
      </c>
      <c r="G45">
        <v>349.99</v>
      </c>
    </row>
    <row r="46" spans="1:7" x14ac:dyDescent="0.25">
      <c r="A46">
        <v>500</v>
      </c>
      <c r="B46">
        <v>26.43</v>
      </c>
      <c r="C46">
        <v>-484.69</v>
      </c>
      <c r="D46">
        <v>166</v>
      </c>
      <c r="E46">
        <v>22.27</v>
      </c>
      <c r="F46">
        <v>197.29</v>
      </c>
      <c r="G46">
        <v>381.42</v>
      </c>
    </row>
    <row r="47" spans="1:7" x14ac:dyDescent="0.25">
      <c r="A47">
        <v>510</v>
      </c>
      <c r="B47">
        <v>27.27</v>
      </c>
      <c r="C47">
        <v>-494.34</v>
      </c>
      <c r="D47">
        <v>303.45</v>
      </c>
      <c r="E47">
        <v>23.11</v>
      </c>
      <c r="F47">
        <v>198.37</v>
      </c>
      <c r="G47">
        <v>403.16</v>
      </c>
    </row>
    <row r="48" spans="1:7" x14ac:dyDescent="0.25">
      <c r="A48">
        <v>520</v>
      </c>
      <c r="B48">
        <v>28.1</v>
      </c>
      <c r="C48">
        <v>-488.52</v>
      </c>
      <c r="D48">
        <v>289.82</v>
      </c>
      <c r="E48">
        <v>23.96</v>
      </c>
      <c r="F48">
        <v>199.45</v>
      </c>
      <c r="G48">
        <v>395.28</v>
      </c>
    </row>
    <row r="49" spans="1:7" x14ac:dyDescent="0.25">
      <c r="A49">
        <v>530</v>
      </c>
      <c r="B49">
        <v>28.93</v>
      </c>
      <c r="C49">
        <v>-492.44</v>
      </c>
      <c r="D49">
        <v>266</v>
      </c>
      <c r="E49">
        <v>24.81</v>
      </c>
      <c r="F49">
        <v>199.81</v>
      </c>
      <c r="G49">
        <v>387.39</v>
      </c>
    </row>
    <row r="50" spans="1:7" x14ac:dyDescent="0.25">
      <c r="A50">
        <v>540</v>
      </c>
      <c r="B50">
        <v>29.74</v>
      </c>
      <c r="C50">
        <v>-485.11</v>
      </c>
      <c r="D50">
        <v>232</v>
      </c>
      <c r="E50">
        <v>25.66</v>
      </c>
      <c r="F50">
        <v>199.41</v>
      </c>
      <c r="G50">
        <v>391.67</v>
      </c>
    </row>
    <row r="51" spans="1:7" x14ac:dyDescent="0.25">
      <c r="A51">
        <v>550</v>
      </c>
      <c r="B51">
        <v>30.56</v>
      </c>
      <c r="C51">
        <v>-489.15</v>
      </c>
      <c r="D51">
        <v>198</v>
      </c>
      <c r="E51">
        <v>26.51</v>
      </c>
      <c r="F51">
        <v>199.02</v>
      </c>
      <c r="G51">
        <v>407.48</v>
      </c>
    </row>
    <row r="52" spans="1:7" x14ac:dyDescent="0.25">
      <c r="A52">
        <v>560</v>
      </c>
      <c r="B52">
        <v>31.38</v>
      </c>
      <c r="C52">
        <v>-483.53</v>
      </c>
      <c r="D52">
        <v>133.19999999999999</v>
      </c>
      <c r="E52">
        <v>27.36</v>
      </c>
      <c r="F52">
        <v>198.63</v>
      </c>
      <c r="G52">
        <v>416.47</v>
      </c>
    </row>
    <row r="53" spans="1:7" x14ac:dyDescent="0.25">
      <c r="A53">
        <v>570</v>
      </c>
      <c r="B53">
        <v>32.19</v>
      </c>
      <c r="C53">
        <v>-474.11</v>
      </c>
      <c r="D53">
        <v>68.400000000000006</v>
      </c>
      <c r="E53">
        <v>28.21</v>
      </c>
      <c r="F53">
        <v>198.24</v>
      </c>
      <c r="G53">
        <v>419</v>
      </c>
    </row>
    <row r="54" spans="1:7" x14ac:dyDescent="0.25">
      <c r="A54">
        <v>580</v>
      </c>
      <c r="B54">
        <v>33</v>
      </c>
      <c r="C54">
        <v>-476.61</v>
      </c>
      <c r="D54">
        <v>71.260000000000005</v>
      </c>
      <c r="E54">
        <v>29.05</v>
      </c>
      <c r="F54">
        <v>201.8</v>
      </c>
      <c r="G54">
        <v>421.53</v>
      </c>
    </row>
    <row r="55" spans="1:7" x14ac:dyDescent="0.25">
      <c r="A55">
        <v>590</v>
      </c>
      <c r="B55">
        <v>33.79</v>
      </c>
      <c r="C55">
        <v>-486.59</v>
      </c>
      <c r="D55">
        <v>136.91</v>
      </c>
      <c r="E55">
        <v>29.89</v>
      </c>
      <c r="F55">
        <v>211.31</v>
      </c>
      <c r="G55">
        <v>425.3</v>
      </c>
    </row>
    <row r="56" spans="1:7" x14ac:dyDescent="0.25">
      <c r="A56">
        <v>600</v>
      </c>
      <c r="B56">
        <v>34.590000000000003</v>
      </c>
      <c r="C56">
        <v>-484.11</v>
      </c>
      <c r="D56">
        <v>241</v>
      </c>
      <c r="E56">
        <v>30.72</v>
      </c>
      <c r="F56">
        <v>220.81</v>
      </c>
      <c r="G56">
        <v>430.79</v>
      </c>
    </row>
    <row r="57" spans="1:7" x14ac:dyDescent="0.25">
      <c r="A57">
        <v>610</v>
      </c>
      <c r="B57">
        <v>35.369999999999997</v>
      </c>
      <c r="C57">
        <v>-481.41</v>
      </c>
      <c r="D57">
        <v>104.48</v>
      </c>
      <c r="E57">
        <v>31.53</v>
      </c>
      <c r="F57">
        <v>217.71</v>
      </c>
      <c r="G57">
        <v>488.22</v>
      </c>
    </row>
    <row r="58" spans="1:7" x14ac:dyDescent="0.25">
      <c r="A58">
        <v>620</v>
      </c>
      <c r="B58">
        <v>36.159999999999997</v>
      </c>
      <c r="C58">
        <v>-483.57</v>
      </c>
      <c r="D58">
        <v>88.83</v>
      </c>
      <c r="E58">
        <v>32.35</v>
      </c>
      <c r="F58">
        <v>210.85</v>
      </c>
      <c r="G58">
        <v>536.70000000000005</v>
      </c>
    </row>
    <row r="59" spans="1:7" x14ac:dyDescent="0.25">
      <c r="A59">
        <v>630</v>
      </c>
      <c r="B59">
        <v>36.94</v>
      </c>
      <c r="C59">
        <v>-479.8</v>
      </c>
      <c r="D59">
        <v>85.83</v>
      </c>
      <c r="E59">
        <v>33.15</v>
      </c>
      <c r="F59">
        <v>207.51</v>
      </c>
      <c r="G59">
        <v>508.13</v>
      </c>
    </row>
    <row r="60" spans="1:7" x14ac:dyDescent="0.25">
      <c r="A60">
        <v>640</v>
      </c>
      <c r="B60">
        <v>37.71</v>
      </c>
      <c r="C60">
        <v>-481.06</v>
      </c>
      <c r="D60">
        <v>80.42</v>
      </c>
      <c r="E60">
        <v>33.950000000000003</v>
      </c>
      <c r="F60">
        <v>208.66</v>
      </c>
      <c r="G60">
        <v>476.62</v>
      </c>
    </row>
    <row r="61" spans="1:7" x14ac:dyDescent="0.25">
      <c r="A61">
        <v>650</v>
      </c>
      <c r="B61">
        <v>38.479999999999997</v>
      </c>
      <c r="C61">
        <v>-480.87</v>
      </c>
      <c r="D61">
        <v>75</v>
      </c>
      <c r="E61">
        <v>34.74</v>
      </c>
      <c r="F61">
        <v>209.82</v>
      </c>
      <c r="G61">
        <v>474.92</v>
      </c>
    </row>
    <row r="62" spans="1:7" x14ac:dyDescent="0.25">
      <c r="A62">
        <v>660</v>
      </c>
      <c r="B62">
        <v>39.24</v>
      </c>
      <c r="C62">
        <v>-471.56</v>
      </c>
      <c r="D62">
        <v>88.13</v>
      </c>
      <c r="E62">
        <v>35.520000000000003</v>
      </c>
      <c r="F62">
        <v>209.48</v>
      </c>
      <c r="G62">
        <v>481.14</v>
      </c>
    </row>
    <row r="63" spans="1:7" x14ac:dyDescent="0.25">
      <c r="A63">
        <v>670</v>
      </c>
      <c r="B63">
        <v>40.01</v>
      </c>
      <c r="C63">
        <v>-477.47</v>
      </c>
      <c r="D63">
        <v>92.71</v>
      </c>
      <c r="E63">
        <v>36.299999999999997</v>
      </c>
      <c r="F63">
        <v>208.87</v>
      </c>
      <c r="G63">
        <v>473.2</v>
      </c>
    </row>
    <row r="64" spans="1:7" x14ac:dyDescent="0.25">
      <c r="A64">
        <v>680</v>
      </c>
      <c r="B64">
        <v>40.770000000000003</v>
      </c>
      <c r="C64">
        <v>-475.69</v>
      </c>
      <c r="D64">
        <v>74.349999999999994</v>
      </c>
      <c r="E64">
        <v>37.08</v>
      </c>
      <c r="F64">
        <v>208.25</v>
      </c>
      <c r="G64">
        <v>453.2</v>
      </c>
    </row>
    <row r="65" spans="1:7" x14ac:dyDescent="0.25">
      <c r="A65">
        <v>690</v>
      </c>
      <c r="B65">
        <v>41.53</v>
      </c>
      <c r="C65">
        <v>-484.76</v>
      </c>
      <c r="D65">
        <v>75.22</v>
      </c>
      <c r="E65">
        <v>37.86</v>
      </c>
      <c r="F65">
        <v>207.63</v>
      </c>
      <c r="G65">
        <v>433.2</v>
      </c>
    </row>
    <row r="66" spans="1:7" x14ac:dyDescent="0.25">
      <c r="A66">
        <v>700</v>
      </c>
      <c r="B66">
        <v>42.3</v>
      </c>
      <c r="C66">
        <v>-483.23</v>
      </c>
      <c r="D66">
        <v>187</v>
      </c>
      <c r="E66">
        <v>38.64</v>
      </c>
      <c r="F66">
        <v>207.02</v>
      </c>
      <c r="G66">
        <v>427.04</v>
      </c>
    </row>
    <row r="67" spans="1:7" x14ac:dyDescent="0.25">
      <c r="A67">
        <v>710</v>
      </c>
      <c r="B67">
        <v>43.06</v>
      </c>
      <c r="C67">
        <v>-485.28</v>
      </c>
      <c r="D67">
        <v>135.75</v>
      </c>
      <c r="E67">
        <v>39.4</v>
      </c>
      <c r="F67">
        <v>201.24</v>
      </c>
      <c r="G67">
        <v>432.67</v>
      </c>
    </row>
    <row r="68" spans="1:7" x14ac:dyDescent="0.25">
      <c r="A68">
        <v>720</v>
      </c>
      <c r="B68">
        <v>43.82</v>
      </c>
      <c r="C68">
        <v>-483.45</v>
      </c>
      <c r="D68">
        <v>119.92</v>
      </c>
      <c r="E68">
        <v>40.159999999999997</v>
      </c>
      <c r="F68">
        <v>195.3</v>
      </c>
      <c r="G68">
        <v>438.3</v>
      </c>
    </row>
    <row r="69" spans="1:7" x14ac:dyDescent="0.25">
      <c r="A69">
        <v>730</v>
      </c>
      <c r="B69">
        <v>44.58</v>
      </c>
      <c r="C69">
        <v>-481.96</v>
      </c>
      <c r="D69">
        <v>99.8</v>
      </c>
      <c r="E69">
        <v>40.92</v>
      </c>
      <c r="F69">
        <v>189.37</v>
      </c>
      <c r="G69">
        <v>436.13</v>
      </c>
    </row>
    <row r="70" spans="1:7" x14ac:dyDescent="0.25">
      <c r="A70">
        <v>740</v>
      </c>
      <c r="B70">
        <v>45.34</v>
      </c>
      <c r="C70">
        <v>-478.73</v>
      </c>
      <c r="D70">
        <v>75.400000000000006</v>
      </c>
      <c r="E70">
        <v>41.68</v>
      </c>
      <c r="F70">
        <v>183.43</v>
      </c>
      <c r="G70">
        <v>426.77</v>
      </c>
    </row>
    <row r="71" spans="1:7" x14ac:dyDescent="0.25">
      <c r="A71">
        <v>750</v>
      </c>
      <c r="B71">
        <v>46.1</v>
      </c>
      <c r="C71">
        <v>-477.7</v>
      </c>
      <c r="D71">
        <v>51</v>
      </c>
      <c r="E71">
        <v>42.44</v>
      </c>
      <c r="F71">
        <v>179.86</v>
      </c>
      <c r="G71">
        <v>417.3</v>
      </c>
    </row>
    <row r="72" spans="1:7" x14ac:dyDescent="0.25">
      <c r="A72">
        <v>760</v>
      </c>
      <c r="B72">
        <v>46.85</v>
      </c>
      <c r="C72">
        <v>-476.01</v>
      </c>
      <c r="D72">
        <v>62.75</v>
      </c>
      <c r="E72">
        <v>43.2</v>
      </c>
      <c r="F72">
        <v>187.85</v>
      </c>
      <c r="G72">
        <v>407.3</v>
      </c>
    </row>
    <row r="73" spans="1:7" x14ac:dyDescent="0.25">
      <c r="A73">
        <v>770</v>
      </c>
      <c r="B73">
        <v>47.61</v>
      </c>
      <c r="C73">
        <v>-478.26</v>
      </c>
      <c r="D73">
        <v>40.25</v>
      </c>
      <c r="E73">
        <v>43.96</v>
      </c>
      <c r="F73">
        <v>195.84</v>
      </c>
      <c r="G73">
        <v>415.14</v>
      </c>
    </row>
    <row r="74" spans="1:7" x14ac:dyDescent="0.25">
      <c r="A74">
        <v>780</v>
      </c>
      <c r="B74">
        <v>48.36</v>
      </c>
      <c r="C74">
        <v>-475.4</v>
      </c>
      <c r="D74">
        <v>114.18</v>
      </c>
      <c r="E74">
        <v>44.71</v>
      </c>
      <c r="F74">
        <v>201.49</v>
      </c>
      <c r="G74">
        <v>443.08</v>
      </c>
    </row>
    <row r="75" spans="1:7" x14ac:dyDescent="0.25">
      <c r="A75">
        <v>790</v>
      </c>
      <c r="B75">
        <v>49.1</v>
      </c>
      <c r="C75">
        <v>-479.26</v>
      </c>
      <c r="D75">
        <v>95.09</v>
      </c>
      <c r="E75">
        <v>45.47</v>
      </c>
      <c r="F75">
        <v>204.6</v>
      </c>
      <c r="G75">
        <v>468.87</v>
      </c>
    </row>
    <row r="76" spans="1:7" x14ac:dyDescent="0.25">
      <c r="A76">
        <v>800</v>
      </c>
      <c r="B76">
        <v>49.85</v>
      </c>
      <c r="C76">
        <v>-474.86</v>
      </c>
      <c r="D76">
        <v>76</v>
      </c>
      <c r="E76">
        <v>46.22</v>
      </c>
      <c r="F76">
        <v>207.7</v>
      </c>
      <c r="G76">
        <v>484.84</v>
      </c>
    </row>
    <row r="77" spans="1:7" x14ac:dyDescent="0.25">
      <c r="A77">
        <v>810</v>
      </c>
      <c r="B77">
        <v>50.6</v>
      </c>
      <c r="C77">
        <v>-483.58</v>
      </c>
      <c r="D77">
        <v>78.33</v>
      </c>
      <c r="E77">
        <v>46.97</v>
      </c>
      <c r="F77">
        <v>206.42</v>
      </c>
      <c r="G77">
        <v>500.81</v>
      </c>
    </row>
    <row r="78" spans="1:7" x14ac:dyDescent="0.25">
      <c r="A78">
        <v>820</v>
      </c>
      <c r="B78">
        <v>51.34</v>
      </c>
      <c r="C78">
        <v>-480.83</v>
      </c>
      <c r="D78">
        <v>101.67</v>
      </c>
      <c r="E78">
        <v>47.72</v>
      </c>
      <c r="F78">
        <v>205.15</v>
      </c>
      <c r="G78">
        <v>495.58</v>
      </c>
    </row>
    <row r="79" spans="1:7" x14ac:dyDescent="0.25">
      <c r="A79">
        <v>830</v>
      </c>
      <c r="B79">
        <v>52.09</v>
      </c>
      <c r="C79">
        <v>-472.77</v>
      </c>
      <c r="D79">
        <v>82.42</v>
      </c>
      <c r="E79">
        <v>48.47</v>
      </c>
      <c r="F79">
        <v>203.87</v>
      </c>
      <c r="G79">
        <v>485.05</v>
      </c>
    </row>
    <row r="80" spans="1:7" x14ac:dyDescent="0.25">
      <c r="A80">
        <v>840</v>
      </c>
      <c r="B80">
        <v>52.84</v>
      </c>
      <c r="C80">
        <v>-468.12</v>
      </c>
      <c r="D80">
        <v>83.25</v>
      </c>
      <c r="E80">
        <v>49.21</v>
      </c>
      <c r="F80">
        <v>202.6</v>
      </c>
      <c r="G80">
        <v>486.85</v>
      </c>
    </row>
    <row r="81" spans="1:7" x14ac:dyDescent="0.25">
      <c r="A81">
        <v>850</v>
      </c>
      <c r="B81">
        <v>53.58</v>
      </c>
      <c r="C81">
        <v>-464.16</v>
      </c>
      <c r="D81">
        <v>58</v>
      </c>
      <c r="E81">
        <v>49.96</v>
      </c>
      <c r="F81">
        <v>201.32</v>
      </c>
      <c r="G81">
        <v>500.03</v>
      </c>
    </row>
    <row r="82" spans="1:7" x14ac:dyDescent="0.25">
      <c r="A82">
        <v>860</v>
      </c>
      <c r="B82">
        <v>54.35</v>
      </c>
      <c r="C82">
        <v>-471.32</v>
      </c>
      <c r="D82">
        <v>172.58</v>
      </c>
      <c r="E82">
        <v>50.71</v>
      </c>
      <c r="F82">
        <v>201</v>
      </c>
      <c r="G82">
        <v>513.21</v>
      </c>
    </row>
    <row r="83" spans="1:7" x14ac:dyDescent="0.25">
      <c r="A83">
        <v>870</v>
      </c>
      <c r="B83">
        <v>55.12</v>
      </c>
      <c r="C83">
        <v>-475.98</v>
      </c>
      <c r="D83">
        <v>287.17</v>
      </c>
      <c r="E83">
        <v>51.45</v>
      </c>
      <c r="F83">
        <v>201</v>
      </c>
      <c r="G83">
        <v>519.33000000000004</v>
      </c>
    </row>
    <row r="84" spans="1:7" x14ac:dyDescent="0.25">
      <c r="A84">
        <v>880</v>
      </c>
      <c r="B84">
        <v>55.9</v>
      </c>
      <c r="C84">
        <v>-475.27</v>
      </c>
      <c r="D84">
        <v>187.63</v>
      </c>
      <c r="E84">
        <v>52.2</v>
      </c>
      <c r="F84">
        <v>204.78</v>
      </c>
      <c r="G84">
        <v>525</v>
      </c>
    </row>
    <row r="85" spans="1:7" x14ac:dyDescent="0.25">
      <c r="A85">
        <v>890</v>
      </c>
      <c r="B85">
        <v>56.69</v>
      </c>
      <c r="C85">
        <v>-480.92</v>
      </c>
      <c r="D85">
        <v>188.88</v>
      </c>
      <c r="E85">
        <v>52.95</v>
      </c>
      <c r="F85">
        <v>211.41</v>
      </c>
      <c r="G85">
        <v>512.51</v>
      </c>
    </row>
    <row r="86" spans="1:7" x14ac:dyDescent="0.25">
      <c r="A86">
        <v>900</v>
      </c>
      <c r="B86">
        <v>57.49</v>
      </c>
      <c r="C86">
        <v>-484.89</v>
      </c>
      <c r="D86">
        <v>151</v>
      </c>
      <c r="E86">
        <v>53.7</v>
      </c>
      <c r="F86">
        <v>218.04</v>
      </c>
      <c r="G86">
        <v>479.56</v>
      </c>
    </row>
    <row r="87" spans="1:7" x14ac:dyDescent="0.25">
      <c r="A87">
        <v>910</v>
      </c>
      <c r="B87">
        <v>58.3</v>
      </c>
      <c r="C87">
        <v>-488.53</v>
      </c>
      <c r="D87">
        <v>251.42</v>
      </c>
      <c r="E87">
        <v>54.47</v>
      </c>
      <c r="F87">
        <v>217.91</v>
      </c>
      <c r="G87">
        <v>446.61</v>
      </c>
    </row>
    <row r="88" spans="1:7" x14ac:dyDescent="0.25">
      <c r="A88">
        <v>920</v>
      </c>
      <c r="B88">
        <v>59.11</v>
      </c>
      <c r="C88">
        <v>-480.97</v>
      </c>
      <c r="D88">
        <v>351.83</v>
      </c>
      <c r="E88">
        <v>55.25</v>
      </c>
      <c r="F88">
        <v>215.88</v>
      </c>
      <c r="G88">
        <v>431.71</v>
      </c>
    </row>
    <row r="89" spans="1:7" x14ac:dyDescent="0.25">
      <c r="A89">
        <v>930</v>
      </c>
      <c r="B89">
        <v>59.94</v>
      </c>
      <c r="C89">
        <v>-490.14</v>
      </c>
      <c r="D89">
        <v>315.70999999999998</v>
      </c>
      <c r="E89">
        <v>56.04</v>
      </c>
      <c r="F89">
        <v>213.48</v>
      </c>
      <c r="G89">
        <v>419.74</v>
      </c>
    </row>
    <row r="90" spans="1:7" x14ac:dyDescent="0.25">
      <c r="A90">
        <v>940</v>
      </c>
      <c r="B90">
        <v>60.78</v>
      </c>
      <c r="C90">
        <v>-491.61</v>
      </c>
      <c r="D90">
        <v>381.13</v>
      </c>
      <c r="E90">
        <v>56.84</v>
      </c>
      <c r="F90">
        <v>210.29</v>
      </c>
      <c r="G90">
        <v>411.32</v>
      </c>
    </row>
    <row r="91" spans="1:7" x14ac:dyDescent="0.25">
      <c r="A91">
        <v>950</v>
      </c>
      <c r="B91">
        <v>61.63</v>
      </c>
      <c r="C91">
        <v>-493.53</v>
      </c>
      <c r="D91">
        <v>299</v>
      </c>
      <c r="E91">
        <v>57.65</v>
      </c>
      <c r="F91">
        <v>207.11</v>
      </c>
      <c r="G91">
        <v>412.52</v>
      </c>
    </row>
    <row r="92" spans="1:7" x14ac:dyDescent="0.25">
      <c r="A92">
        <v>960</v>
      </c>
      <c r="B92">
        <v>62.5</v>
      </c>
      <c r="C92">
        <v>-487.73</v>
      </c>
      <c r="D92">
        <v>246.44</v>
      </c>
      <c r="E92">
        <v>58.47</v>
      </c>
      <c r="F92">
        <v>204.63</v>
      </c>
      <c r="G92">
        <v>413.71</v>
      </c>
    </row>
    <row r="93" spans="1:7" x14ac:dyDescent="0.25">
      <c r="A93">
        <v>970</v>
      </c>
      <c r="B93">
        <v>63.38</v>
      </c>
      <c r="C93">
        <v>-489.51</v>
      </c>
      <c r="D93">
        <v>437.56</v>
      </c>
      <c r="E93">
        <v>59.3</v>
      </c>
      <c r="F93">
        <v>202.32</v>
      </c>
      <c r="G93">
        <v>414.32</v>
      </c>
    </row>
    <row r="94" spans="1:7" x14ac:dyDescent="0.25">
      <c r="A94">
        <v>980</v>
      </c>
      <c r="B94">
        <v>64.260000000000005</v>
      </c>
      <c r="C94">
        <v>-479.63</v>
      </c>
      <c r="D94">
        <v>237.5</v>
      </c>
      <c r="E94">
        <v>60.14</v>
      </c>
      <c r="F94">
        <v>199.56</v>
      </c>
      <c r="G94">
        <v>414.74</v>
      </c>
    </row>
    <row r="95" spans="1:7" x14ac:dyDescent="0.25">
      <c r="A95">
        <v>990</v>
      </c>
      <c r="B95">
        <v>65.13</v>
      </c>
      <c r="C95">
        <v>-483.98</v>
      </c>
      <c r="D95">
        <v>126</v>
      </c>
      <c r="E95">
        <v>61</v>
      </c>
      <c r="F95">
        <v>196.2</v>
      </c>
      <c r="G95">
        <v>417.81</v>
      </c>
    </row>
    <row r="96" spans="1:7" x14ac:dyDescent="0.25">
      <c r="A96">
        <v>1000</v>
      </c>
      <c r="B96">
        <v>66.010000000000005</v>
      </c>
      <c r="C96">
        <v>-483.4</v>
      </c>
      <c r="D96">
        <v>25</v>
      </c>
      <c r="E96">
        <v>61.86</v>
      </c>
      <c r="F96">
        <v>192.84</v>
      </c>
      <c r="G96">
        <v>425.41</v>
      </c>
    </row>
    <row r="97" spans="1:7" x14ac:dyDescent="0.25">
      <c r="A97">
        <v>1010</v>
      </c>
      <c r="B97">
        <v>66.88</v>
      </c>
      <c r="C97">
        <v>-477.96</v>
      </c>
      <c r="D97">
        <v>36</v>
      </c>
      <c r="E97">
        <v>62.75</v>
      </c>
      <c r="F97">
        <v>192.36</v>
      </c>
      <c r="G97">
        <v>433.01</v>
      </c>
    </row>
    <row r="98" spans="1:7" x14ac:dyDescent="0.25">
      <c r="A98">
        <v>1020</v>
      </c>
      <c r="B98">
        <v>67.739999999999995</v>
      </c>
      <c r="C98">
        <v>-483.63</v>
      </c>
      <c r="D98">
        <v>50.5</v>
      </c>
      <c r="E98">
        <v>63.65</v>
      </c>
      <c r="F98">
        <v>192.83</v>
      </c>
      <c r="G98">
        <v>430.68</v>
      </c>
    </row>
    <row r="99" spans="1:7" x14ac:dyDescent="0.25">
      <c r="A99">
        <v>1030</v>
      </c>
      <c r="B99">
        <v>68.59</v>
      </c>
      <c r="C99">
        <v>-485.65</v>
      </c>
      <c r="D99">
        <v>48.5</v>
      </c>
      <c r="E99">
        <v>64.540000000000006</v>
      </c>
      <c r="F99">
        <v>195.81</v>
      </c>
      <c r="G99">
        <v>426.86</v>
      </c>
    </row>
    <row r="100" spans="1:7" x14ac:dyDescent="0.25">
      <c r="A100">
        <v>1040</v>
      </c>
      <c r="B100">
        <v>69.430000000000007</v>
      </c>
      <c r="C100">
        <v>-484.76</v>
      </c>
      <c r="D100">
        <v>80.290000000000006</v>
      </c>
      <c r="E100">
        <v>65.430000000000007</v>
      </c>
      <c r="F100">
        <v>200.14</v>
      </c>
      <c r="G100">
        <v>427.44</v>
      </c>
    </row>
    <row r="101" spans="1:7" x14ac:dyDescent="0.25">
      <c r="A101">
        <v>1050</v>
      </c>
      <c r="B101">
        <v>70.27</v>
      </c>
      <c r="C101">
        <v>-477.23</v>
      </c>
      <c r="D101">
        <v>41</v>
      </c>
      <c r="E101">
        <v>66.33</v>
      </c>
      <c r="F101">
        <v>204.46</v>
      </c>
      <c r="G101">
        <v>441.21</v>
      </c>
    </row>
    <row r="102" spans="1:7" x14ac:dyDescent="0.25">
      <c r="A102">
        <v>1060</v>
      </c>
      <c r="B102">
        <v>71.099999999999994</v>
      </c>
      <c r="C102">
        <v>-469.15</v>
      </c>
      <c r="D102">
        <v>36</v>
      </c>
      <c r="E102">
        <v>67.2</v>
      </c>
      <c r="F102">
        <v>212.63</v>
      </c>
      <c r="G102">
        <v>454.97</v>
      </c>
    </row>
    <row r="103" spans="1:7" x14ac:dyDescent="0.25">
      <c r="A103">
        <v>1070</v>
      </c>
      <c r="B103">
        <v>71.930000000000007</v>
      </c>
      <c r="C103">
        <v>-476.41</v>
      </c>
      <c r="D103">
        <v>31</v>
      </c>
      <c r="E103">
        <v>68.069999999999993</v>
      </c>
      <c r="F103">
        <v>222</v>
      </c>
      <c r="G103">
        <v>449.26</v>
      </c>
    </row>
    <row r="104" spans="1:7" x14ac:dyDescent="0.25">
      <c r="A104">
        <v>1080</v>
      </c>
      <c r="B104">
        <v>72.75</v>
      </c>
      <c r="C104">
        <v>-486.42</v>
      </c>
      <c r="D104">
        <v>38.54</v>
      </c>
      <c r="E104">
        <v>68.94</v>
      </c>
      <c r="F104">
        <v>229.73</v>
      </c>
      <c r="G104">
        <v>438.06</v>
      </c>
    </row>
    <row r="105" spans="1:7" x14ac:dyDescent="0.25">
      <c r="A105">
        <v>1090</v>
      </c>
      <c r="B105">
        <v>73.569999999999993</v>
      </c>
      <c r="C105">
        <v>-477.34</v>
      </c>
      <c r="D105">
        <v>55.63</v>
      </c>
      <c r="E105">
        <v>69.790000000000006</v>
      </c>
      <c r="F105">
        <v>235.93</v>
      </c>
      <c r="G105">
        <v>433.53</v>
      </c>
    </row>
    <row r="106" spans="1:7" x14ac:dyDescent="0.25">
      <c r="A106">
        <v>1100</v>
      </c>
      <c r="B106">
        <v>74.39</v>
      </c>
      <c r="C106">
        <v>-481.76</v>
      </c>
      <c r="D106">
        <v>93</v>
      </c>
      <c r="E106">
        <v>70.650000000000006</v>
      </c>
      <c r="F106">
        <v>242.13</v>
      </c>
      <c r="G106">
        <v>446.13</v>
      </c>
    </row>
    <row r="107" spans="1:7" x14ac:dyDescent="0.25">
      <c r="A107">
        <v>1110</v>
      </c>
      <c r="B107">
        <v>75.19</v>
      </c>
      <c r="C107">
        <v>-476.22</v>
      </c>
      <c r="D107">
        <v>100.92</v>
      </c>
      <c r="E107">
        <v>71.489999999999995</v>
      </c>
      <c r="F107">
        <v>239.98</v>
      </c>
      <c r="G107">
        <v>458.72</v>
      </c>
    </row>
    <row r="108" spans="1:7" x14ac:dyDescent="0.25">
      <c r="A108">
        <v>1120</v>
      </c>
      <c r="B108">
        <v>75.989999999999995</v>
      </c>
      <c r="C108">
        <v>-467.38</v>
      </c>
      <c r="D108">
        <v>108.83</v>
      </c>
      <c r="E108">
        <v>72.34</v>
      </c>
      <c r="F108">
        <v>236.47</v>
      </c>
      <c r="G108">
        <v>444.31</v>
      </c>
    </row>
    <row r="109" spans="1:7" x14ac:dyDescent="0.25">
      <c r="A109">
        <v>1130</v>
      </c>
      <c r="B109">
        <v>76.790000000000006</v>
      </c>
      <c r="C109">
        <v>-465.7</v>
      </c>
      <c r="D109">
        <v>65.5</v>
      </c>
      <c r="E109">
        <v>73.17</v>
      </c>
      <c r="F109">
        <v>233.93</v>
      </c>
      <c r="G109">
        <v>420.41</v>
      </c>
    </row>
    <row r="110" spans="1:7" x14ac:dyDescent="0.25">
      <c r="A110">
        <v>1140</v>
      </c>
      <c r="B110">
        <v>77.58</v>
      </c>
      <c r="C110">
        <v>-461.74</v>
      </c>
      <c r="D110">
        <v>42.5</v>
      </c>
      <c r="E110">
        <v>74</v>
      </c>
      <c r="F110">
        <v>232.1</v>
      </c>
      <c r="G110">
        <v>405.39</v>
      </c>
    </row>
    <row r="111" spans="1:7" x14ac:dyDescent="0.25">
      <c r="A111">
        <v>1150</v>
      </c>
      <c r="B111">
        <v>78.37</v>
      </c>
      <c r="C111">
        <v>-466.86</v>
      </c>
      <c r="D111">
        <v>89</v>
      </c>
      <c r="E111">
        <v>74.83</v>
      </c>
      <c r="F111">
        <v>229.95</v>
      </c>
      <c r="G111">
        <v>420.15</v>
      </c>
    </row>
    <row r="112" spans="1:7" x14ac:dyDescent="0.25">
      <c r="A112">
        <v>1160</v>
      </c>
      <c r="B112">
        <v>79.150000000000006</v>
      </c>
      <c r="C112">
        <v>-462.17</v>
      </c>
      <c r="D112">
        <v>63.17</v>
      </c>
      <c r="E112">
        <v>75.64</v>
      </c>
      <c r="F112">
        <v>225.77</v>
      </c>
      <c r="G112">
        <v>434.9</v>
      </c>
    </row>
    <row r="113" spans="1:7" x14ac:dyDescent="0.25">
      <c r="A113">
        <v>1170</v>
      </c>
      <c r="B113">
        <v>79.930000000000007</v>
      </c>
      <c r="C113">
        <v>-466.88</v>
      </c>
      <c r="D113">
        <v>37.33</v>
      </c>
      <c r="E113">
        <v>76.45</v>
      </c>
      <c r="F113">
        <v>221.59</v>
      </c>
      <c r="G113">
        <v>457.1</v>
      </c>
    </row>
    <row r="114" spans="1:7" x14ac:dyDescent="0.25">
      <c r="A114">
        <v>1180</v>
      </c>
      <c r="B114">
        <v>80.7</v>
      </c>
      <c r="C114">
        <v>-462.45</v>
      </c>
      <c r="D114">
        <v>23.63</v>
      </c>
      <c r="E114">
        <v>77.260000000000005</v>
      </c>
      <c r="F114">
        <v>219.8</v>
      </c>
      <c r="G114">
        <v>481.28</v>
      </c>
    </row>
    <row r="115" spans="1:7" x14ac:dyDescent="0.25">
      <c r="A115">
        <v>1190</v>
      </c>
      <c r="B115">
        <v>81.47</v>
      </c>
      <c r="C115">
        <v>-455.84</v>
      </c>
      <c r="D115">
        <v>24.88</v>
      </c>
      <c r="E115">
        <v>78.06</v>
      </c>
      <c r="F115">
        <v>220.39</v>
      </c>
      <c r="G115">
        <v>504.24</v>
      </c>
    </row>
    <row r="116" spans="1:7" x14ac:dyDescent="0.25">
      <c r="A116">
        <v>1200</v>
      </c>
      <c r="B116">
        <v>82.24</v>
      </c>
      <c r="C116">
        <v>-461.33</v>
      </c>
      <c r="D116">
        <v>31</v>
      </c>
      <c r="E116">
        <v>78.849999999999994</v>
      </c>
      <c r="F116">
        <v>220.98</v>
      </c>
      <c r="G116">
        <v>524.92999999999995</v>
      </c>
    </row>
    <row r="117" spans="1:7" x14ac:dyDescent="0.25">
      <c r="A117">
        <v>1210</v>
      </c>
      <c r="B117">
        <v>83.01</v>
      </c>
      <c r="C117">
        <v>-465.61</v>
      </c>
      <c r="D117">
        <v>33.08</v>
      </c>
      <c r="E117">
        <v>79.650000000000006</v>
      </c>
      <c r="F117">
        <v>221.57</v>
      </c>
      <c r="G117">
        <v>545.53</v>
      </c>
    </row>
    <row r="118" spans="1:7" x14ac:dyDescent="0.25">
      <c r="A118">
        <v>1220</v>
      </c>
      <c r="B118">
        <v>83.78</v>
      </c>
      <c r="C118">
        <v>-468.4</v>
      </c>
      <c r="D118">
        <v>35.17</v>
      </c>
      <c r="E118">
        <v>80.45</v>
      </c>
      <c r="F118">
        <v>222.16</v>
      </c>
      <c r="G118">
        <v>563.35</v>
      </c>
    </row>
    <row r="119" spans="1:7" x14ac:dyDescent="0.25">
      <c r="A119">
        <v>1230</v>
      </c>
      <c r="B119">
        <v>84.55</v>
      </c>
      <c r="C119">
        <v>-468.79</v>
      </c>
      <c r="D119">
        <v>44.33</v>
      </c>
      <c r="E119">
        <v>81.22</v>
      </c>
      <c r="F119">
        <v>224.42</v>
      </c>
      <c r="G119">
        <v>581.16999999999996</v>
      </c>
    </row>
    <row r="120" spans="1:7" x14ac:dyDescent="0.25">
      <c r="A120">
        <v>1240</v>
      </c>
      <c r="B120">
        <v>85.33</v>
      </c>
      <c r="C120">
        <v>-466.15</v>
      </c>
      <c r="D120">
        <v>61</v>
      </c>
      <c r="E120">
        <v>81.96</v>
      </c>
      <c r="F120">
        <v>228.88</v>
      </c>
      <c r="G120">
        <v>586.41999999999996</v>
      </c>
    </row>
    <row r="121" spans="1:7" x14ac:dyDescent="0.25">
      <c r="A121">
        <v>1250</v>
      </c>
      <c r="B121">
        <v>86.1</v>
      </c>
      <c r="C121">
        <v>-473.96</v>
      </c>
      <c r="D121">
        <v>83</v>
      </c>
      <c r="E121">
        <v>82.71</v>
      </c>
      <c r="F121">
        <v>233.33</v>
      </c>
      <c r="G121">
        <v>559.33000000000004</v>
      </c>
    </row>
    <row r="122" spans="1:7" x14ac:dyDescent="0.25">
      <c r="A122">
        <v>1260</v>
      </c>
      <c r="B122">
        <v>86.88</v>
      </c>
      <c r="C122">
        <v>-479.73</v>
      </c>
      <c r="D122">
        <v>67.17</v>
      </c>
      <c r="E122">
        <v>83.52</v>
      </c>
      <c r="F122">
        <v>228.31</v>
      </c>
      <c r="G122">
        <v>532.25</v>
      </c>
    </row>
    <row r="123" spans="1:7" x14ac:dyDescent="0.25">
      <c r="A123">
        <v>1270</v>
      </c>
      <c r="B123">
        <v>87.65</v>
      </c>
      <c r="C123">
        <v>-477.95</v>
      </c>
      <c r="D123">
        <v>51.33</v>
      </c>
      <c r="E123">
        <v>84.35</v>
      </c>
      <c r="F123">
        <v>221.61</v>
      </c>
      <c r="G123">
        <v>496.31</v>
      </c>
    </row>
    <row r="124" spans="1:7" x14ac:dyDescent="0.25">
      <c r="A124">
        <v>1280</v>
      </c>
      <c r="B124">
        <v>88.43</v>
      </c>
      <c r="C124">
        <v>-470.28</v>
      </c>
      <c r="D124">
        <v>60.5</v>
      </c>
      <c r="E124">
        <v>85.16</v>
      </c>
      <c r="F124">
        <v>216.76</v>
      </c>
      <c r="G124">
        <v>459.17</v>
      </c>
    </row>
    <row r="125" spans="1:7" x14ac:dyDescent="0.25">
      <c r="A125">
        <v>1290</v>
      </c>
      <c r="B125">
        <v>89.21</v>
      </c>
      <c r="C125">
        <v>-475.39</v>
      </c>
      <c r="D125">
        <v>85.5</v>
      </c>
      <c r="E125">
        <v>85.95</v>
      </c>
      <c r="F125">
        <v>213.26</v>
      </c>
      <c r="G125">
        <v>424.68</v>
      </c>
    </row>
    <row r="126" spans="1:7" x14ac:dyDescent="0.25">
      <c r="A126">
        <v>1300</v>
      </c>
      <c r="B126">
        <v>89.99</v>
      </c>
      <c r="C126">
        <v>-471.17</v>
      </c>
      <c r="D126">
        <v>95</v>
      </c>
      <c r="E126">
        <v>86.74</v>
      </c>
      <c r="F126">
        <v>210.35</v>
      </c>
      <c r="G126">
        <v>420.68</v>
      </c>
    </row>
    <row r="127" spans="1:7" x14ac:dyDescent="0.25">
      <c r="A127">
        <v>1310</v>
      </c>
      <c r="B127">
        <v>90.78</v>
      </c>
      <c r="C127">
        <v>-464.77</v>
      </c>
      <c r="D127">
        <v>67.08</v>
      </c>
      <c r="E127">
        <v>87.53</v>
      </c>
      <c r="F127">
        <v>215.3</v>
      </c>
      <c r="G127">
        <v>418.02</v>
      </c>
    </row>
    <row r="128" spans="1:7" x14ac:dyDescent="0.25">
      <c r="A128">
        <v>1320</v>
      </c>
      <c r="B128">
        <v>91.56</v>
      </c>
      <c r="C128">
        <v>-471.4</v>
      </c>
      <c r="D128">
        <v>39.17</v>
      </c>
      <c r="E128">
        <v>88.32</v>
      </c>
      <c r="F128">
        <v>220.26</v>
      </c>
      <c r="G128">
        <v>430.78</v>
      </c>
    </row>
    <row r="129" spans="1:7" x14ac:dyDescent="0.25">
      <c r="A129">
        <v>1330</v>
      </c>
      <c r="B129">
        <v>92.35</v>
      </c>
      <c r="C129">
        <v>-469.84</v>
      </c>
      <c r="D129">
        <v>36.42</v>
      </c>
      <c r="E129">
        <v>89.12</v>
      </c>
      <c r="F129">
        <v>222.77</v>
      </c>
      <c r="G129">
        <v>443.54</v>
      </c>
    </row>
    <row r="130" spans="1:7" x14ac:dyDescent="0.25">
      <c r="A130">
        <v>1340</v>
      </c>
      <c r="B130">
        <v>93.15</v>
      </c>
      <c r="C130">
        <v>-466.57</v>
      </c>
      <c r="D130">
        <v>27.25</v>
      </c>
      <c r="E130">
        <v>89.91</v>
      </c>
      <c r="F130">
        <v>224.47</v>
      </c>
      <c r="G130">
        <v>453.22</v>
      </c>
    </row>
    <row r="131" spans="1:7" x14ac:dyDescent="0.25">
      <c r="A131">
        <v>1350</v>
      </c>
      <c r="B131">
        <v>93.94</v>
      </c>
      <c r="C131">
        <v>-468.47</v>
      </c>
      <c r="D131">
        <v>17</v>
      </c>
      <c r="E131">
        <v>90.71</v>
      </c>
      <c r="F131">
        <v>226.31</v>
      </c>
      <c r="G131">
        <v>448.91</v>
      </c>
    </row>
    <row r="132" spans="1:7" x14ac:dyDescent="0.25">
      <c r="A132">
        <v>1360</v>
      </c>
      <c r="B132">
        <v>94.73</v>
      </c>
      <c r="C132">
        <v>-472</v>
      </c>
      <c r="D132">
        <v>24.52</v>
      </c>
      <c r="E132">
        <v>91.51</v>
      </c>
      <c r="F132">
        <v>229.41</v>
      </c>
      <c r="G132">
        <v>444.6</v>
      </c>
    </row>
    <row r="133" spans="1:7" x14ac:dyDescent="0.25">
      <c r="A133">
        <v>1370</v>
      </c>
      <c r="B133">
        <v>95.53</v>
      </c>
      <c r="C133">
        <v>-470.42</v>
      </c>
      <c r="D133">
        <v>28.43</v>
      </c>
      <c r="E133">
        <v>92.31</v>
      </c>
      <c r="F133">
        <v>232.51</v>
      </c>
      <c r="G133">
        <v>433.08</v>
      </c>
    </row>
    <row r="134" spans="1:7" x14ac:dyDescent="0.25">
      <c r="A134">
        <v>1380</v>
      </c>
      <c r="B134">
        <v>96.33</v>
      </c>
      <c r="C134">
        <v>-464.69</v>
      </c>
      <c r="D134">
        <v>13.48</v>
      </c>
      <c r="E134">
        <v>93.12</v>
      </c>
      <c r="F134">
        <v>232.59</v>
      </c>
      <c r="G134">
        <v>417.34</v>
      </c>
    </row>
    <row r="135" spans="1:7" x14ac:dyDescent="0.25">
      <c r="A135">
        <v>1390</v>
      </c>
      <c r="B135">
        <v>97.13</v>
      </c>
      <c r="C135">
        <v>-465.83</v>
      </c>
      <c r="D135">
        <v>42.17</v>
      </c>
      <c r="E135">
        <v>93.93</v>
      </c>
      <c r="F135">
        <v>229.88</v>
      </c>
      <c r="G135">
        <v>406.11</v>
      </c>
    </row>
    <row r="136" spans="1:7" x14ac:dyDescent="0.25">
      <c r="A136">
        <v>1400</v>
      </c>
      <c r="B136">
        <v>97.93</v>
      </c>
      <c r="C136">
        <v>-465.48</v>
      </c>
      <c r="D136">
        <v>56</v>
      </c>
      <c r="E136">
        <v>94.74</v>
      </c>
      <c r="F136">
        <v>227.18</v>
      </c>
      <c r="G136">
        <v>406.5</v>
      </c>
    </row>
    <row r="137" spans="1:7" x14ac:dyDescent="0.25">
      <c r="A137">
        <v>1410</v>
      </c>
      <c r="B137">
        <v>98.74</v>
      </c>
      <c r="C137">
        <v>-463.17</v>
      </c>
      <c r="D137">
        <v>54.75</v>
      </c>
      <c r="E137">
        <v>95.55</v>
      </c>
      <c r="F137">
        <v>229.6</v>
      </c>
      <c r="G137">
        <v>406.88</v>
      </c>
    </row>
    <row r="138" spans="1:7" x14ac:dyDescent="0.25">
      <c r="A138">
        <v>1420</v>
      </c>
      <c r="B138">
        <v>99.55</v>
      </c>
      <c r="C138">
        <v>-459.69</v>
      </c>
      <c r="D138">
        <v>53.5</v>
      </c>
      <c r="E138">
        <v>96.36</v>
      </c>
      <c r="F138">
        <v>233.73</v>
      </c>
      <c r="G138">
        <v>423.21</v>
      </c>
    </row>
    <row r="139" spans="1:7" x14ac:dyDescent="0.25">
      <c r="A139">
        <v>1430</v>
      </c>
      <c r="B139">
        <v>100.38</v>
      </c>
      <c r="C139">
        <v>-457.24</v>
      </c>
      <c r="D139">
        <v>55.46</v>
      </c>
      <c r="E139">
        <v>97.18</v>
      </c>
      <c r="F139">
        <v>234.1</v>
      </c>
      <c r="G139">
        <v>446.36</v>
      </c>
    </row>
    <row r="140" spans="1:7" x14ac:dyDescent="0.25">
      <c r="A140">
        <v>1440</v>
      </c>
      <c r="B140">
        <v>101.23</v>
      </c>
      <c r="C140">
        <v>-460.89</v>
      </c>
      <c r="D140">
        <v>78.38</v>
      </c>
      <c r="E140">
        <v>98</v>
      </c>
      <c r="F140">
        <v>229.87</v>
      </c>
      <c r="G140">
        <v>469.52</v>
      </c>
    </row>
    <row r="141" spans="1:7" x14ac:dyDescent="0.25">
      <c r="A141">
        <v>1450</v>
      </c>
      <c r="B141">
        <v>102.08</v>
      </c>
      <c r="C141">
        <v>-468.1</v>
      </c>
      <c r="D141">
        <v>72</v>
      </c>
      <c r="E141">
        <v>98.83</v>
      </c>
      <c r="F141">
        <v>225.63</v>
      </c>
      <c r="G141">
        <v>479.35</v>
      </c>
    </row>
    <row r="142" spans="1:7" x14ac:dyDescent="0.25">
      <c r="A142">
        <v>1460</v>
      </c>
      <c r="B142">
        <v>102.97</v>
      </c>
      <c r="C142">
        <v>-466.45</v>
      </c>
      <c r="D142">
        <v>73.91</v>
      </c>
      <c r="E142">
        <v>99.67</v>
      </c>
      <c r="F142">
        <v>226.38</v>
      </c>
      <c r="G142">
        <v>509.63</v>
      </c>
    </row>
    <row r="143" spans="1:7" x14ac:dyDescent="0.25">
      <c r="A143">
        <v>1470</v>
      </c>
      <c r="B143">
        <v>103.87</v>
      </c>
      <c r="C143">
        <v>-469.43</v>
      </c>
      <c r="D143">
        <v>37.549999999999997</v>
      </c>
      <c r="E143">
        <v>100.52</v>
      </c>
      <c r="F143">
        <v>228.01</v>
      </c>
      <c r="G143">
        <v>506.34</v>
      </c>
    </row>
    <row r="144" spans="1:7" x14ac:dyDescent="0.25">
      <c r="A144">
        <v>1480</v>
      </c>
      <c r="B144">
        <v>104.78</v>
      </c>
      <c r="C144">
        <v>-466.93</v>
      </c>
      <c r="D144">
        <v>27.87</v>
      </c>
      <c r="E144">
        <v>101.39</v>
      </c>
      <c r="F144">
        <v>230.58</v>
      </c>
      <c r="G144">
        <v>501.91</v>
      </c>
    </row>
    <row r="145" spans="1:7" x14ac:dyDescent="0.25">
      <c r="A145">
        <v>1490</v>
      </c>
      <c r="B145">
        <v>105.71</v>
      </c>
      <c r="C145">
        <v>-468.74</v>
      </c>
      <c r="D145">
        <v>40.04</v>
      </c>
      <c r="E145">
        <v>102.28</v>
      </c>
      <c r="F145">
        <v>234.62</v>
      </c>
      <c r="G145">
        <v>524.74</v>
      </c>
    </row>
    <row r="146" spans="1:7" x14ac:dyDescent="0.25">
      <c r="A146">
        <v>1500</v>
      </c>
      <c r="B146">
        <v>106.65</v>
      </c>
      <c r="C146">
        <v>-469.11</v>
      </c>
      <c r="D146">
        <v>39</v>
      </c>
      <c r="E146">
        <v>103.17</v>
      </c>
      <c r="F146">
        <v>238.44</v>
      </c>
      <c r="G146">
        <v>547.58000000000004</v>
      </c>
    </row>
    <row r="147" spans="1:7" x14ac:dyDescent="0.25">
      <c r="A147">
        <v>1510</v>
      </c>
      <c r="B147">
        <v>107.64</v>
      </c>
      <c r="C147">
        <v>-484.17</v>
      </c>
      <c r="D147">
        <v>35.17</v>
      </c>
      <c r="E147">
        <v>104.1</v>
      </c>
      <c r="F147">
        <v>236.94</v>
      </c>
      <c r="G147">
        <v>566.54999999999995</v>
      </c>
    </row>
    <row r="148" spans="1:7" x14ac:dyDescent="0.25">
      <c r="A148">
        <v>1520</v>
      </c>
      <c r="B148">
        <v>108.62</v>
      </c>
      <c r="C148">
        <v>-481.53</v>
      </c>
      <c r="D148">
        <v>36.479999999999997</v>
      </c>
      <c r="E148">
        <v>105.03</v>
      </c>
      <c r="F148">
        <v>235.44</v>
      </c>
      <c r="G148">
        <v>581.64</v>
      </c>
    </row>
    <row r="149" spans="1:7" x14ac:dyDescent="0.25">
      <c r="A149">
        <v>1530</v>
      </c>
      <c r="B149">
        <v>109.6</v>
      </c>
      <c r="C149">
        <v>-479.63</v>
      </c>
      <c r="D149">
        <v>26.35</v>
      </c>
      <c r="E149">
        <v>105.98</v>
      </c>
      <c r="F149">
        <v>236.2</v>
      </c>
      <c r="G149">
        <v>573.30999999999995</v>
      </c>
    </row>
    <row r="150" spans="1:7" x14ac:dyDescent="0.25">
      <c r="A150">
        <v>1540</v>
      </c>
      <c r="B150">
        <v>110.57</v>
      </c>
      <c r="C150">
        <v>-476.4</v>
      </c>
      <c r="D150">
        <v>27.22</v>
      </c>
      <c r="E150">
        <v>106.96</v>
      </c>
      <c r="F150">
        <v>240.79</v>
      </c>
      <c r="G150">
        <v>463.41</v>
      </c>
    </row>
    <row r="151" spans="1:7" x14ac:dyDescent="0.25">
      <c r="A151">
        <v>1550</v>
      </c>
      <c r="B151">
        <v>111.53</v>
      </c>
      <c r="C151">
        <v>-478.78</v>
      </c>
      <c r="D151">
        <v>17</v>
      </c>
      <c r="E151">
        <v>107.95</v>
      </c>
      <c r="F151">
        <v>242.88</v>
      </c>
      <c r="G151">
        <v>444.23</v>
      </c>
    </row>
    <row r="152" spans="1:7" x14ac:dyDescent="0.25">
      <c r="A152">
        <v>1560</v>
      </c>
      <c r="B152">
        <v>112.45</v>
      </c>
      <c r="C152">
        <v>-480.79</v>
      </c>
      <c r="D152">
        <v>10.26</v>
      </c>
      <c r="E152">
        <v>108.97</v>
      </c>
      <c r="F152">
        <v>239.16</v>
      </c>
      <c r="G152">
        <v>452.74</v>
      </c>
    </row>
    <row r="153" spans="1:7" x14ac:dyDescent="0.25">
      <c r="A153">
        <v>1570</v>
      </c>
      <c r="B153">
        <v>113.37</v>
      </c>
      <c r="C153">
        <v>-479.64</v>
      </c>
      <c r="D153">
        <v>17.22</v>
      </c>
      <c r="E153">
        <v>109.98</v>
      </c>
      <c r="F153">
        <v>235.43</v>
      </c>
      <c r="G153">
        <v>459.43</v>
      </c>
    </row>
    <row r="154" spans="1:7" x14ac:dyDescent="0.25">
      <c r="A154">
        <v>1580</v>
      </c>
      <c r="B154">
        <v>114.27</v>
      </c>
      <c r="C154">
        <v>-473.94</v>
      </c>
      <c r="D154">
        <v>22.71</v>
      </c>
      <c r="E154">
        <v>110.97</v>
      </c>
      <c r="F154">
        <v>234.87</v>
      </c>
      <c r="G154">
        <v>466.13</v>
      </c>
    </row>
    <row r="155" spans="1:7" x14ac:dyDescent="0.25">
      <c r="A155">
        <v>1590</v>
      </c>
      <c r="B155">
        <v>115.15</v>
      </c>
      <c r="C155">
        <v>-468.3</v>
      </c>
      <c r="D155">
        <v>23.89</v>
      </c>
      <c r="E155">
        <v>111.93</v>
      </c>
      <c r="F155">
        <v>237.72</v>
      </c>
      <c r="G155">
        <v>463.5</v>
      </c>
    </row>
    <row r="156" spans="1:7" x14ac:dyDescent="0.25">
      <c r="A156">
        <v>1600</v>
      </c>
      <c r="B156">
        <v>116.02</v>
      </c>
      <c r="C156">
        <v>-468.07</v>
      </c>
      <c r="D156">
        <v>32</v>
      </c>
      <c r="E156">
        <v>112.88</v>
      </c>
      <c r="F156">
        <v>242.53</v>
      </c>
      <c r="G156">
        <v>457.25</v>
      </c>
    </row>
    <row r="157" spans="1:7" x14ac:dyDescent="0.25">
      <c r="A157">
        <v>1610</v>
      </c>
      <c r="B157">
        <v>116.85</v>
      </c>
      <c r="C157">
        <v>-460.36</v>
      </c>
      <c r="D157">
        <v>13.4</v>
      </c>
      <c r="E157">
        <v>113.79</v>
      </c>
      <c r="F157">
        <v>255.16</v>
      </c>
      <c r="G157">
        <v>451</v>
      </c>
    </row>
    <row r="158" spans="1:7" x14ac:dyDescent="0.25">
      <c r="A158">
        <v>1620</v>
      </c>
      <c r="B158">
        <v>117.68</v>
      </c>
      <c r="C158">
        <v>-458.29</v>
      </c>
      <c r="D158">
        <v>16.43</v>
      </c>
      <c r="E158">
        <v>114.7</v>
      </c>
      <c r="F158">
        <v>267.79000000000002</v>
      </c>
      <c r="G158">
        <v>445.98</v>
      </c>
    </row>
    <row r="159" spans="1:7" x14ac:dyDescent="0.25">
      <c r="A159">
        <v>1630</v>
      </c>
      <c r="B159">
        <v>118.5</v>
      </c>
      <c r="C159">
        <v>-451.61</v>
      </c>
      <c r="D159">
        <v>27.86</v>
      </c>
      <c r="E159">
        <v>115.59</v>
      </c>
      <c r="F159">
        <v>275.36</v>
      </c>
      <c r="G159">
        <v>453.58</v>
      </c>
    </row>
    <row r="160" spans="1:7" x14ac:dyDescent="0.25">
      <c r="A160">
        <v>1640</v>
      </c>
      <c r="B160">
        <v>119.29</v>
      </c>
      <c r="C160">
        <v>-452.02</v>
      </c>
      <c r="D160">
        <v>10</v>
      </c>
      <c r="E160">
        <v>116.46</v>
      </c>
      <c r="F160">
        <v>273.52</v>
      </c>
      <c r="G160">
        <v>490.88</v>
      </c>
    </row>
    <row r="161" spans="1:7" x14ac:dyDescent="0.25">
      <c r="A161">
        <v>1650</v>
      </c>
      <c r="B161">
        <v>120.09</v>
      </c>
      <c r="C161">
        <v>-448.9</v>
      </c>
      <c r="D161">
        <v>23</v>
      </c>
      <c r="E161">
        <v>117.32</v>
      </c>
      <c r="F161">
        <v>271.68</v>
      </c>
      <c r="G161">
        <v>499.06</v>
      </c>
    </row>
    <row r="162" spans="1:7" x14ac:dyDescent="0.25">
      <c r="A162">
        <v>1660</v>
      </c>
      <c r="B162">
        <v>120.85</v>
      </c>
      <c r="C162">
        <v>-447.81</v>
      </c>
      <c r="D162">
        <v>33.6</v>
      </c>
      <c r="E162">
        <v>118.15</v>
      </c>
      <c r="F162">
        <v>274.51</v>
      </c>
      <c r="G162">
        <v>507.23</v>
      </c>
    </row>
    <row r="163" spans="1:7" x14ac:dyDescent="0.25">
      <c r="A163">
        <v>1670</v>
      </c>
      <c r="B163">
        <v>121.61</v>
      </c>
      <c r="C163">
        <v>-448.1</v>
      </c>
      <c r="D163">
        <v>17</v>
      </c>
      <c r="E163">
        <v>118.97</v>
      </c>
      <c r="F163">
        <v>277.86</v>
      </c>
      <c r="G163">
        <v>515.59</v>
      </c>
    </row>
    <row r="164" spans="1:7" x14ac:dyDescent="0.25">
      <c r="A164">
        <v>1680</v>
      </c>
      <c r="B164">
        <v>122.36</v>
      </c>
      <c r="C164">
        <v>-447.17</v>
      </c>
      <c r="D164">
        <v>24.43</v>
      </c>
      <c r="E164">
        <v>119.78</v>
      </c>
      <c r="F164">
        <v>278.75</v>
      </c>
      <c r="G164">
        <v>527.42999999999995</v>
      </c>
    </row>
    <row r="165" spans="1:7" x14ac:dyDescent="0.25">
      <c r="A165">
        <v>1690</v>
      </c>
      <c r="B165">
        <v>123.1</v>
      </c>
      <c r="C165">
        <v>-441.91</v>
      </c>
      <c r="D165">
        <v>30.1</v>
      </c>
      <c r="E165">
        <v>120.57</v>
      </c>
      <c r="F165">
        <v>275.27999999999997</v>
      </c>
      <c r="G165">
        <v>539.27</v>
      </c>
    </row>
    <row r="166" spans="1:7" x14ac:dyDescent="0.25">
      <c r="A166">
        <v>1700</v>
      </c>
      <c r="B166">
        <v>123.83</v>
      </c>
      <c r="C166">
        <v>-442.83</v>
      </c>
      <c r="D166">
        <v>5</v>
      </c>
      <c r="E166">
        <v>121.36</v>
      </c>
      <c r="F166">
        <v>271.81</v>
      </c>
      <c r="G166">
        <v>547.54999999999995</v>
      </c>
    </row>
    <row r="167" spans="1:7" x14ac:dyDescent="0.25">
      <c r="A167">
        <v>1710</v>
      </c>
      <c r="B167">
        <v>124.54</v>
      </c>
      <c r="C167">
        <v>-436.6</v>
      </c>
      <c r="D167">
        <v>7</v>
      </c>
      <c r="E167">
        <v>122.12</v>
      </c>
      <c r="F167">
        <v>269.32</v>
      </c>
      <c r="G167">
        <v>553.45000000000005</v>
      </c>
    </row>
    <row r="168" spans="1:7" x14ac:dyDescent="0.25">
      <c r="A168">
        <v>1720</v>
      </c>
      <c r="B168">
        <v>125.25</v>
      </c>
      <c r="C168">
        <v>-438.57</v>
      </c>
      <c r="D168">
        <v>58</v>
      </c>
      <c r="E168">
        <v>122.87</v>
      </c>
      <c r="F168">
        <v>266.93</v>
      </c>
      <c r="G168">
        <v>557.96</v>
      </c>
    </row>
    <row r="169" spans="1:7" x14ac:dyDescent="0.25">
      <c r="A169">
        <v>1730</v>
      </c>
      <c r="B169">
        <v>125.95</v>
      </c>
      <c r="C169">
        <v>-443.29</v>
      </c>
      <c r="D169">
        <v>22.88</v>
      </c>
      <c r="E169">
        <v>123.61</v>
      </c>
      <c r="F169">
        <v>265.95999999999998</v>
      </c>
      <c r="G169">
        <v>560.37</v>
      </c>
    </row>
    <row r="170" spans="1:7" x14ac:dyDescent="0.25">
      <c r="A170">
        <v>1740</v>
      </c>
      <c r="B170">
        <v>126.65</v>
      </c>
      <c r="C170">
        <v>-439.33</v>
      </c>
      <c r="D170">
        <v>16</v>
      </c>
      <c r="E170">
        <v>124.33</v>
      </c>
      <c r="F170">
        <v>268.01</v>
      </c>
      <c r="G170">
        <v>564.12</v>
      </c>
    </row>
    <row r="171" spans="1:7" x14ac:dyDescent="0.25">
      <c r="A171">
        <v>1750</v>
      </c>
      <c r="B171">
        <v>127.34</v>
      </c>
      <c r="C171">
        <v>-434.71</v>
      </c>
      <c r="D171">
        <v>48</v>
      </c>
      <c r="E171">
        <v>125.04</v>
      </c>
      <c r="F171">
        <v>270.06</v>
      </c>
      <c r="G171">
        <v>570.75</v>
      </c>
    </row>
    <row r="172" spans="1:7" x14ac:dyDescent="0.25">
      <c r="A172">
        <v>1760</v>
      </c>
      <c r="B172">
        <v>128.04</v>
      </c>
      <c r="C172">
        <v>-436.55</v>
      </c>
      <c r="D172">
        <v>17.8</v>
      </c>
      <c r="E172">
        <v>125.76</v>
      </c>
      <c r="F172">
        <v>272.11</v>
      </c>
      <c r="G172">
        <v>577.37</v>
      </c>
    </row>
    <row r="173" spans="1:7" x14ac:dyDescent="0.25">
      <c r="A173">
        <v>1770</v>
      </c>
      <c r="B173">
        <v>128.74</v>
      </c>
      <c r="C173">
        <v>-435.07</v>
      </c>
      <c r="D173">
        <v>12.33</v>
      </c>
      <c r="E173">
        <v>126.48</v>
      </c>
      <c r="F173">
        <v>274.16000000000003</v>
      </c>
      <c r="G173">
        <v>584</v>
      </c>
    </row>
    <row r="174" spans="1:7" x14ac:dyDescent="0.25">
      <c r="A174">
        <v>1780</v>
      </c>
      <c r="B174">
        <v>129.44</v>
      </c>
      <c r="C174">
        <v>-437.07</v>
      </c>
      <c r="D174">
        <v>25.67</v>
      </c>
      <c r="E174">
        <v>127.19</v>
      </c>
      <c r="F174">
        <v>273.23</v>
      </c>
      <c r="G174">
        <v>585.04</v>
      </c>
    </row>
    <row r="175" spans="1:7" x14ac:dyDescent="0.25">
      <c r="A175">
        <v>1790</v>
      </c>
      <c r="B175">
        <v>130.15</v>
      </c>
      <c r="C175">
        <v>-435.33</v>
      </c>
      <c r="D175">
        <v>26.2</v>
      </c>
      <c r="E175">
        <v>127.9</v>
      </c>
      <c r="F175">
        <v>270.22000000000003</v>
      </c>
      <c r="G175">
        <v>586.6</v>
      </c>
    </row>
    <row r="176" spans="1:7" x14ac:dyDescent="0.25">
      <c r="A176">
        <v>1800</v>
      </c>
      <c r="B176">
        <v>130.86000000000001</v>
      </c>
      <c r="C176">
        <v>-430.06</v>
      </c>
      <c r="D176">
        <v>24</v>
      </c>
      <c r="E176">
        <v>128.61000000000001</v>
      </c>
      <c r="F176">
        <v>267.22000000000003</v>
      </c>
      <c r="G176">
        <v>594.07000000000005</v>
      </c>
    </row>
    <row r="177" spans="1:7" x14ac:dyDescent="0.25">
      <c r="A177">
        <v>1810</v>
      </c>
      <c r="B177">
        <v>131.57</v>
      </c>
      <c r="C177">
        <v>-425.54</v>
      </c>
      <c r="D177">
        <v>55.06</v>
      </c>
      <c r="E177">
        <v>129.33000000000001</v>
      </c>
      <c r="F177">
        <v>269.27</v>
      </c>
      <c r="G177">
        <v>601.54</v>
      </c>
    </row>
    <row r="178" spans="1:7" x14ac:dyDescent="0.25">
      <c r="A178">
        <v>1820</v>
      </c>
      <c r="B178">
        <v>132.29</v>
      </c>
      <c r="C178">
        <v>-427.15</v>
      </c>
      <c r="D178">
        <v>14.43</v>
      </c>
      <c r="E178">
        <v>130.05000000000001</v>
      </c>
      <c r="F178">
        <v>272.92</v>
      </c>
      <c r="G178">
        <v>609.02</v>
      </c>
    </row>
    <row r="179" spans="1:7" x14ac:dyDescent="0.25">
      <c r="A179">
        <v>1830</v>
      </c>
      <c r="B179">
        <v>133.01</v>
      </c>
      <c r="C179">
        <v>-420.98</v>
      </c>
      <c r="D179">
        <v>9.1999999999999993</v>
      </c>
      <c r="E179">
        <v>130.78</v>
      </c>
      <c r="F179">
        <v>273.44</v>
      </c>
      <c r="G179">
        <v>616.49</v>
      </c>
    </row>
    <row r="180" spans="1:7" x14ac:dyDescent="0.25">
      <c r="A180">
        <v>1840</v>
      </c>
      <c r="B180">
        <v>133.74</v>
      </c>
      <c r="C180">
        <v>-428.51</v>
      </c>
      <c r="D180">
        <v>30.5</v>
      </c>
      <c r="E180">
        <v>131.51</v>
      </c>
      <c r="F180">
        <v>269.81</v>
      </c>
      <c r="G180">
        <v>629.03</v>
      </c>
    </row>
    <row r="181" spans="1:7" x14ac:dyDescent="0.25">
      <c r="A181">
        <v>1850</v>
      </c>
      <c r="B181">
        <v>134.47</v>
      </c>
      <c r="C181">
        <v>-440.89</v>
      </c>
      <c r="D181">
        <v>46</v>
      </c>
      <c r="E181">
        <v>132.24</v>
      </c>
      <c r="F181">
        <v>266.18</v>
      </c>
      <c r="G181">
        <v>646.08000000000004</v>
      </c>
    </row>
    <row r="182" spans="1:7" x14ac:dyDescent="0.25">
      <c r="A182">
        <v>1860</v>
      </c>
      <c r="B182">
        <v>135.24</v>
      </c>
      <c r="C182">
        <v>-430.44</v>
      </c>
      <c r="D182">
        <v>11.38</v>
      </c>
      <c r="E182">
        <v>132.99</v>
      </c>
      <c r="F182">
        <v>277.41000000000003</v>
      </c>
      <c r="G182">
        <v>649.35</v>
      </c>
    </row>
    <row r="183" spans="1:7" x14ac:dyDescent="0.25">
      <c r="A183">
        <v>1870</v>
      </c>
      <c r="B183">
        <v>136</v>
      </c>
      <c r="C183">
        <v>-437.21</v>
      </c>
      <c r="D183">
        <v>10</v>
      </c>
      <c r="E183">
        <v>133.72999999999999</v>
      </c>
      <c r="F183">
        <v>289.42</v>
      </c>
      <c r="G183">
        <v>693.41</v>
      </c>
    </row>
    <row r="184" spans="1:7" x14ac:dyDescent="0.25">
      <c r="A184">
        <v>1880</v>
      </c>
      <c r="B184">
        <v>136.80000000000001</v>
      </c>
      <c r="C184">
        <v>-442.66</v>
      </c>
      <c r="D184">
        <v>18</v>
      </c>
      <c r="E184">
        <v>134.47999999999999</v>
      </c>
      <c r="F184">
        <v>291.70999999999998</v>
      </c>
      <c r="G184">
        <v>600.30999999999995</v>
      </c>
    </row>
    <row r="185" spans="1:7" x14ac:dyDescent="0.25">
      <c r="A185">
        <v>1890</v>
      </c>
      <c r="B185">
        <v>137.63999999999999</v>
      </c>
      <c r="C185">
        <v>-454.55</v>
      </c>
      <c r="D185">
        <v>8.25</v>
      </c>
      <c r="E185">
        <v>135.25</v>
      </c>
      <c r="F185">
        <v>280.02</v>
      </c>
      <c r="G185">
        <v>532.70000000000005</v>
      </c>
    </row>
    <row r="186" spans="1:7" x14ac:dyDescent="0.25">
      <c r="A186">
        <v>1900</v>
      </c>
      <c r="B186">
        <v>138.49</v>
      </c>
      <c r="C186">
        <v>-456.74</v>
      </c>
      <c r="D186">
        <v>18</v>
      </c>
      <c r="E186">
        <v>136.02000000000001</v>
      </c>
      <c r="F186">
        <v>268.33999999999997</v>
      </c>
      <c r="G186">
        <v>527.77</v>
      </c>
    </row>
    <row r="187" spans="1:7" x14ac:dyDescent="0.25">
      <c r="A187">
        <v>1910</v>
      </c>
      <c r="B187">
        <v>139.43</v>
      </c>
      <c r="C187">
        <v>-464.04</v>
      </c>
      <c r="D187">
        <v>24</v>
      </c>
      <c r="E187">
        <v>136.86000000000001</v>
      </c>
      <c r="F187">
        <v>260</v>
      </c>
      <c r="G187">
        <v>509.61</v>
      </c>
    </row>
    <row r="188" spans="1:7" x14ac:dyDescent="0.25">
      <c r="A188">
        <v>1920</v>
      </c>
      <c r="B188">
        <v>140.4</v>
      </c>
      <c r="C188">
        <v>-473.68</v>
      </c>
      <c r="D188">
        <v>42</v>
      </c>
      <c r="E188">
        <v>137.72</v>
      </c>
      <c r="F188">
        <v>252.5</v>
      </c>
      <c r="G188">
        <v>483.99</v>
      </c>
    </row>
    <row r="189" spans="1:7" x14ac:dyDescent="0.25">
      <c r="A189">
        <v>1930</v>
      </c>
      <c r="B189">
        <v>141.38999999999999</v>
      </c>
      <c r="C189">
        <v>-484.07</v>
      </c>
      <c r="D189">
        <v>92.38</v>
      </c>
      <c r="E189">
        <v>138.61000000000001</v>
      </c>
      <c r="F189">
        <v>245</v>
      </c>
      <c r="G189">
        <v>458.38</v>
      </c>
    </row>
    <row r="190" spans="1:7" x14ac:dyDescent="0.25">
      <c r="A190">
        <v>1940</v>
      </c>
      <c r="B190">
        <v>142.49</v>
      </c>
      <c r="C190">
        <v>-486.84</v>
      </c>
      <c r="D190">
        <v>60.33</v>
      </c>
      <c r="E190">
        <v>139.58000000000001</v>
      </c>
      <c r="F190">
        <v>237.51</v>
      </c>
      <c r="G190">
        <v>445.28</v>
      </c>
    </row>
    <row r="191" spans="1:7" x14ac:dyDescent="0.25">
      <c r="A191">
        <v>1950</v>
      </c>
      <c r="B191">
        <v>143.61000000000001</v>
      </c>
      <c r="C191">
        <v>-485.33</v>
      </c>
      <c r="D191">
        <v>344</v>
      </c>
      <c r="E191">
        <v>140.57</v>
      </c>
      <c r="F191">
        <v>230.31</v>
      </c>
      <c r="G191">
        <v>435.5</v>
      </c>
    </row>
    <row r="192" spans="1:7" x14ac:dyDescent="0.25">
      <c r="A192">
        <v>1960</v>
      </c>
      <c r="B192">
        <v>144.88999999999999</v>
      </c>
      <c r="C192">
        <v>-496.7</v>
      </c>
      <c r="D192">
        <v>96.33</v>
      </c>
      <c r="E192">
        <v>141.68</v>
      </c>
      <c r="F192">
        <v>225.05</v>
      </c>
      <c r="G192">
        <v>419.71</v>
      </c>
    </row>
    <row r="193" spans="1:7" x14ac:dyDescent="0.25">
      <c r="A193">
        <v>1970</v>
      </c>
      <c r="B193">
        <v>146.18</v>
      </c>
      <c r="C193">
        <v>-496.39</v>
      </c>
      <c r="D193">
        <v>156.5</v>
      </c>
      <c r="E193">
        <v>142.78</v>
      </c>
      <c r="F193">
        <v>219.79</v>
      </c>
      <c r="G193">
        <v>398.54</v>
      </c>
    </row>
    <row r="194" spans="1:7" x14ac:dyDescent="0.25">
      <c r="A194">
        <v>1980</v>
      </c>
      <c r="B194">
        <v>147.58000000000001</v>
      </c>
      <c r="C194">
        <v>-490.49</v>
      </c>
      <c r="D194">
        <v>162</v>
      </c>
      <c r="E194">
        <v>143.97999999999999</v>
      </c>
      <c r="F194">
        <v>211.62</v>
      </c>
      <c r="G194">
        <v>352.91</v>
      </c>
    </row>
    <row r="195" spans="1:7" x14ac:dyDescent="0.25">
      <c r="A195">
        <v>1990</v>
      </c>
      <c r="B195">
        <v>149.11000000000001</v>
      </c>
      <c r="C195">
        <v>-492</v>
      </c>
      <c r="D195">
        <v>98</v>
      </c>
      <c r="E195">
        <v>145.29</v>
      </c>
      <c r="F195">
        <v>200.16</v>
      </c>
      <c r="G195">
        <v>363.05</v>
      </c>
    </row>
    <row r="196" spans="1:7" x14ac:dyDescent="0.25">
      <c r="A196">
        <v>2000</v>
      </c>
      <c r="B196">
        <v>150.66999999999999</v>
      </c>
      <c r="C196">
        <v>-490.51</v>
      </c>
      <c r="D196">
        <v>301</v>
      </c>
      <c r="E196">
        <v>146.65</v>
      </c>
      <c r="F196">
        <v>191.69</v>
      </c>
      <c r="G196">
        <v>369.66</v>
      </c>
    </row>
    <row r="197" spans="1:7" x14ac:dyDescent="0.25">
      <c r="A197">
        <v>2010</v>
      </c>
      <c r="B197">
        <v>152.35</v>
      </c>
      <c r="C197">
        <v>-495.73</v>
      </c>
      <c r="D197">
        <v>296</v>
      </c>
      <c r="E197">
        <v>148.22999999999999</v>
      </c>
      <c r="F197">
        <v>195.12</v>
      </c>
      <c r="G197">
        <v>337.2</v>
      </c>
    </row>
    <row r="198" spans="1:7" x14ac:dyDescent="0.25">
      <c r="A198">
        <v>2020</v>
      </c>
      <c r="B198">
        <v>154.02000000000001</v>
      </c>
      <c r="C198">
        <v>-490.8</v>
      </c>
      <c r="D198">
        <v>297.89</v>
      </c>
      <c r="E198">
        <v>149.80000000000001</v>
      </c>
      <c r="F198">
        <v>198.55</v>
      </c>
      <c r="G198">
        <v>318.25</v>
      </c>
    </row>
    <row r="199" spans="1:7" x14ac:dyDescent="0.25">
      <c r="A199">
        <v>2030</v>
      </c>
      <c r="B199">
        <v>155.69999999999999</v>
      </c>
      <c r="C199">
        <v>-495.07</v>
      </c>
      <c r="D199">
        <v>247</v>
      </c>
      <c r="E199">
        <v>151.44999999999999</v>
      </c>
      <c r="F199">
        <v>198.89</v>
      </c>
      <c r="G199">
        <v>318.94</v>
      </c>
    </row>
    <row r="200" spans="1:7" x14ac:dyDescent="0.25">
      <c r="A200">
        <v>2040</v>
      </c>
      <c r="B200">
        <v>157.38</v>
      </c>
      <c r="C200">
        <v>-492.08</v>
      </c>
      <c r="D200">
        <v>184.27</v>
      </c>
      <c r="E200">
        <v>153.18</v>
      </c>
      <c r="F200">
        <v>195.15</v>
      </c>
      <c r="G200">
        <v>339.4</v>
      </c>
    </row>
    <row r="201" spans="1:7" x14ac:dyDescent="0.25">
      <c r="A201">
        <v>2050</v>
      </c>
      <c r="B201">
        <v>159.05000000000001</v>
      </c>
      <c r="C201">
        <v>-496.54</v>
      </c>
      <c r="D201">
        <v>308</v>
      </c>
      <c r="E201">
        <v>154.91999999999999</v>
      </c>
      <c r="F201">
        <v>191.41</v>
      </c>
      <c r="G201">
        <v>348.54</v>
      </c>
    </row>
    <row r="202" spans="1:7" x14ac:dyDescent="0.25">
      <c r="A202">
        <v>2060</v>
      </c>
      <c r="B202">
        <v>160.72999999999999</v>
      </c>
      <c r="C202">
        <v>-492.25</v>
      </c>
      <c r="D202">
        <v>90.36</v>
      </c>
      <c r="E202">
        <v>156.65</v>
      </c>
      <c r="F202">
        <v>192.8</v>
      </c>
      <c r="G202">
        <v>353.25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AF4D-139F-4818-8BD2-0B763D4AA899}">
  <dimension ref="A1"/>
  <sheetViews>
    <sheetView workbookViewId="0">
      <selection activeCell="L29" sqref="L29"/>
    </sheetView>
  </sheetViews>
  <sheetFormatPr defaultColWidth="8.85546875"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D0B43739A51A1469F04B691F23F0D55" ma:contentTypeVersion="4" ma:contentTypeDescription="Create a new document." ma:contentTypeScope="" ma:versionID="ae40de17af81ad403880fa08ff9e1771">
  <xsd:schema xmlns:xsd="http://www.w3.org/2001/XMLSchema" xmlns:xs="http://www.w3.org/2001/XMLSchema" xmlns:p="http://schemas.microsoft.com/office/2006/metadata/properties" xmlns:ns2="dd8d8732-c6e0-4bc8-82ab-a1ff9572d493" targetNamespace="http://schemas.microsoft.com/office/2006/metadata/properties" ma:root="true" ma:fieldsID="3c36035cf4632ad3537860a505b1c609" ns2:_="">
    <xsd:import namespace="dd8d8732-c6e0-4bc8-82ab-a1ff9572d49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8d8732-c6e0-4bc8-82ab-a1ff9572d4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1797A4-2960-4AEC-A816-8FB71FEBDFB6}">
  <ds:schemaRefs>
    <ds:schemaRef ds:uri="http://schemas.microsoft.com/sharepoint/v3/contenttype/forms"/>
  </ds:schemaRefs>
</ds:datastoreItem>
</file>

<file path=customXml/itemProps2.xml><?xml version="1.0" encoding="utf-8"?>
<ds:datastoreItem xmlns:ds="http://schemas.openxmlformats.org/officeDocument/2006/customXml" ds:itemID="{79F29222-6CAC-4507-B2A9-6B6A688F5A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8d8732-c6e0-4bc8-82ab-a1ff9572d4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vt:lpstr>
      <vt:lpstr>Task 1</vt:lpstr>
      <vt:lpstr>Task 2</vt:lpstr>
      <vt:lpstr>Task 3</vt:lpstr>
      <vt:lpstr>Ice Core data</vt:lpstr>
      <vt:lpstr>Work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Anshika, FNU</dc:creator>
  <cp:keywords/>
  <dc:description/>
  <cp:lastModifiedBy>Larry Nguyen</cp:lastModifiedBy>
  <cp:revision/>
  <dcterms:created xsi:type="dcterms:W3CDTF">2024-08-06T23:53:16Z</dcterms:created>
  <dcterms:modified xsi:type="dcterms:W3CDTF">2024-10-10T05:04:39Z</dcterms:modified>
  <cp:category/>
  <cp:contentStatus/>
</cp:coreProperties>
</file>