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xron2\Downloads\"/>
    </mc:Choice>
  </mc:AlternateContent>
  <xr:revisionPtr revIDLastSave="0" documentId="13_ncr:1_{F8A865B3-D80A-491A-8551-F860C4732818}" xr6:coauthVersionLast="47" xr6:coauthVersionMax="47" xr10:uidLastSave="{00000000-0000-0000-0000-000000000000}"/>
  <bookViews>
    <workbookView xWindow="-120" yWindow="-120" windowWidth="29040" windowHeight="15720" activeTab="2" xr2:uid="{79D3AF80-25E5-4097-BB2F-7A07BAC19EBB}"/>
  </bookViews>
  <sheets>
    <sheet name="Title" sheetId="1" r:id="rId1"/>
    <sheet name="Task1" sheetId="2" r:id="rId2"/>
    <sheet name="Task2" sheetId="3" r:id="rId3"/>
    <sheet name="GlobalTemp" sheetId="4"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2" l="1"/>
  <c r="J2" i="2"/>
  <c r="I2" i="2"/>
  <c r="H3" i="2"/>
  <c r="I3"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2" i="2"/>
  <c r="B1" i="3"/>
  <c r="J3" i="2" l="1"/>
  <c r="H4" i="2"/>
  <c r="J4" i="2" s="1"/>
  <c r="H5" i="2" l="1"/>
  <c r="J5" i="2" s="1"/>
  <c r="I4" i="2"/>
  <c r="H6" i="2" l="1"/>
  <c r="J6" i="2" s="1"/>
  <c r="I5" i="2"/>
  <c r="H7" i="2" l="1"/>
  <c r="J7" i="2" s="1"/>
  <c r="I6" i="2"/>
  <c r="H8" i="2" l="1"/>
  <c r="J8" i="2" s="1"/>
  <c r="I7" i="2"/>
  <c r="H9" i="2" l="1"/>
  <c r="J9" i="2" s="1"/>
  <c r="I8" i="2"/>
  <c r="H10" i="2" l="1"/>
  <c r="J10" i="2" s="1"/>
  <c r="I9" i="2"/>
  <c r="H11" i="2" l="1"/>
  <c r="J11" i="2" s="1"/>
  <c r="I10" i="2"/>
  <c r="H12" i="2" l="1"/>
  <c r="J12" i="2" s="1"/>
  <c r="I11" i="2"/>
  <c r="H13" i="2" l="1"/>
  <c r="J13" i="2" s="1"/>
  <c r="I12" i="2"/>
  <c r="H14" i="2" l="1"/>
  <c r="J14" i="2" s="1"/>
  <c r="I13" i="2"/>
  <c r="H15" i="2" l="1"/>
  <c r="J15" i="2" s="1"/>
  <c r="I14" i="2"/>
  <c r="H16" i="2" l="1"/>
  <c r="J16" i="2" s="1"/>
  <c r="I15" i="2"/>
  <c r="H17" i="2" l="1"/>
  <c r="J17" i="2" s="1"/>
  <c r="I16" i="2"/>
  <c r="H18" i="2" l="1"/>
  <c r="J18" i="2" s="1"/>
  <c r="I17" i="2"/>
  <c r="H19" i="2" l="1"/>
  <c r="J19" i="2" s="1"/>
  <c r="I18" i="2"/>
  <c r="H20" i="2" l="1"/>
  <c r="J20" i="2" s="1"/>
  <c r="I19" i="2"/>
  <c r="H21" i="2" l="1"/>
  <c r="J21" i="2" s="1"/>
  <c r="I20" i="2"/>
  <c r="H22" i="2" l="1"/>
  <c r="J22" i="2" s="1"/>
  <c r="I21" i="2"/>
  <c r="H23" i="2" l="1"/>
  <c r="J23" i="2" s="1"/>
  <c r="I22" i="2"/>
  <c r="H24" i="2" l="1"/>
  <c r="J24" i="2" s="1"/>
  <c r="I23" i="2"/>
  <c r="H25" i="2" l="1"/>
  <c r="J25" i="2" s="1"/>
  <c r="I24" i="2"/>
  <c r="H26" i="2" l="1"/>
  <c r="J26" i="2" s="1"/>
  <c r="I25" i="2"/>
  <c r="H27" i="2" l="1"/>
  <c r="J27" i="2" s="1"/>
  <c r="I26" i="2"/>
  <c r="H28" i="2" l="1"/>
  <c r="J28" i="2" s="1"/>
  <c r="I27" i="2"/>
  <c r="H29" i="2" l="1"/>
  <c r="J29" i="2" s="1"/>
  <c r="I28" i="2"/>
  <c r="H30" i="2" l="1"/>
  <c r="J30" i="2" s="1"/>
  <c r="I29" i="2"/>
  <c r="H31" i="2" l="1"/>
  <c r="J31" i="2" s="1"/>
  <c r="I30" i="2"/>
  <c r="H32" i="2" l="1"/>
  <c r="J32" i="2" s="1"/>
  <c r="I31" i="2"/>
  <c r="H33" i="2" l="1"/>
  <c r="J33" i="2" s="1"/>
  <c r="I32" i="2"/>
  <c r="H34" i="2" l="1"/>
  <c r="J34" i="2" s="1"/>
  <c r="I33" i="2"/>
  <c r="H35" i="2" l="1"/>
  <c r="J35" i="2" s="1"/>
  <c r="I34" i="2"/>
  <c r="H36" i="2" l="1"/>
  <c r="J36" i="2" s="1"/>
  <c r="I35" i="2"/>
  <c r="H37" i="2" l="1"/>
  <c r="J37" i="2" s="1"/>
  <c r="I36" i="2"/>
  <c r="H38" i="2" l="1"/>
  <c r="J38" i="2" s="1"/>
  <c r="I37" i="2"/>
  <c r="H39" i="2" l="1"/>
  <c r="J39" i="2" s="1"/>
  <c r="I38" i="2"/>
  <c r="H40" i="2" l="1"/>
  <c r="J40" i="2" s="1"/>
  <c r="I39" i="2"/>
  <c r="H41" i="2" l="1"/>
  <c r="J41" i="2" s="1"/>
  <c r="I40" i="2"/>
  <c r="H42" i="2" l="1"/>
  <c r="J42" i="2" s="1"/>
  <c r="I41" i="2"/>
  <c r="H43" i="2" l="1"/>
  <c r="J43" i="2" s="1"/>
  <c r="I42" i="2"/>
  <c r="H44" i="2" l="1"/>
  <c r="J44" i="2" s="1"/>
  <c r="I43" i="2"/>
  <c r="H45" i="2" l="1"/>
  <c r="J45" i="2" s="1"/>
  <c r="I44" i="2"/>
  <c r="H46" i="2" l="1"/>
  <c r="J46" i="2" s="1"/>
  <c r="I45" i="2"/>
  <c r="H47" i="2" l="1"/>
  <c r="J47" i="2" s="1"/>
  <c r="I46" i="2"/>
  <c r="H48" i="2" l="1"/>
  <c r="J48" i="2" s="1"/>
  <c r="I47" i="2"/>
  <c r="H49" i="2" l="1"/>
  <c r="J49" i="2" s="1"/>
  <c r="I48" i="2"/>
  <c r="H50" i="2" l="1"/>
  <c r="J50" i="2" s="1"/>
  <c r="I49" i="2"/>
  <c r="H51" i="2" l="1"/>
  <c r="J51" i="2" s="1"/>
  <c r="I50" i="2"/>
  <c r="H52" i="2" l="1"/>
  <c r="J52" i="2" s="1"/>
  <c r="I51" i="2"/>
  <c r="H53" i="2" l="1"/>
  <c r="J53" i="2" s="1"/>
  <c r="I52" i="2"/>
  <c r="H54" i="2" l="1"/>
  <c r="J54" i="2" s="1"/>
  <c r="I53" i="2"/>
  <c r="H55" i="2" l="1"/>
  <c r="J55" i="2" s="1"/>
  <c r="I54" i="2"/>
  <c r="H56" i="2" l="1"/>
  <c r="J56" i="2" s="1"/>
  <c r="I55" i="2"/>
  <c r="H57" i="2" l="1"/>
  <c r="J57" i="2" s="1"/>
  <c r="I56" i="2"/>
  <c r="H58" i="2" l="1"/>
  <c r="J58" i="2" s="1"/>
  <c r="I57" i="2"/>
  <c r="H59" i="2" l="1"/>
  <c r="J59" i="2" s="1"/>
  <c r="I58" i="2"/>
  <c r="H60" i="2" l="1"/>
  <c r="J60" i="2" s="1"/>
  <c r="I59" i="2"/>
  <c r="H61" i="2" l="1"/>
  <c r="J61" i="2" s="1"/>
  <c r="I60" i="2"/>
  <c r="H62" i="2" l="1"/>
  <c r="J62" i="2" s="1"/>
  <c r="I61" i="2"/>
  <c r="H63" i="2" l="1"/>
  <c r="J63" i="2" s="1"/>
  <c r="I62" i="2"/>
  <c r="H64" i="2" l="1"/>
  <c r="J64" i="2" s="1"/>
  <c r="I63" i="2"/>
  <c r="H65" i="2" l="1"/>
  <c r="J65" i="2" s="1"/>
  <c r="I64" i="2"/>
  <c r="H66" i="2" l="1"/>
  <c r="J66" i="2" s="1"/>
  <c r="I65" i="2"/>
  <c r="H67" i="2" l="1"/>
  <c r="J67" i="2" s="1"/>
  <c r="I66" i="2"/>
  <c r="H68" i="2" l="1"/>
  <c r="J68" i="2" s="1"/>
  <c r="I67" i="2"/>
  <c r="H69" i="2" l="1"/>
  <c r="J69" i="2" s="1"/>
  <c r="I68" i="2"/>
  <c r="H70" i="2" l="1"/>
  <c r="J70" i="2" s="1"/>
  <c r="I69" i="2"/>
  <c r="H71" i="2" l="1"/>
  <c r="J71" i="2" s="1"/>
  <c r="I70" i="2"/>
  <c r="H72" i="2" l="1"/>
  <c r="J72" i="2" s="1"/>
  <c r="I71" i="2"/>
  <c r="H73" i="2" l="1"/>
  <c r="J73" i="2" s="1"/>
  <c r="I72" i="2"/>
  <c r="H74" i="2" l="1"/>
  <c r="J74" i="2" s="1"/>
  <c r="I73" i="2"/>
  <c r="H75" i="2" l="1"/>
  <c r="J75" i="2" s="1"/>
  <c r="I74" i="2"/>
  <c r="H76" i="2" l="1"/>
  <c r="J76" i="2" s="1"/>
  <c r="I75" i="2"/>
  <c r="H77" i="2" l="1"/>
  <c r="J77" i="2" s="1"/>
  <c r="I76" i="2"/>
  <c r="H78" i="2" l="1"/>
  <c r="J78" i="2" s="1"/>
  <c r="I77" i="2"/>
  <c r="H79" i="2" l="1"/>
  <c r="J79" i="2" s="1"/>
  <c r="I78" i="2"/>
  <c r="H80" i="2" l="1"/>
  <c r="J80" i="2" s="1"/>
  <c r="I79" i="2"/>
  <c r="H81" i="2" l="1"/>
  <c r="J81" i="2" s="1"/>
  <c r="I80" i="2"/>
  <c r="H82" i="2" l="1"/>
  <c r="J82" i="2" s="1"/>
  <c r="I81" i="2"/>
  <c r="H83" i="2" l="1"/>
  <c r="J83" i="2" s="1"/>
  <c r="I82" i="2"/>
  <c r="H84" i="2" l="1"/>
  <c r="J84" i="2" s="1"/>
  <c r="I83" i="2"/>
  <c r="H85" i="2" l="1"/>
  <c r="J85" i="2" s="1"/>
  <c r="I84" i="2"/>
  <c r="H86" i="2" l="1"/>
  <c r="J86" i="2" s="1"/>
  <c r="I85" i="2"/>
  <c r="H87" i="2" l="1"/>
  <c r="J87" i="2" s="1"/>
  <c r="I86" i="2"/>
  <c r="H88" i="2" l="1"/>
  <c r="J88" i="2" s="1"/>
  <c r="I87" i="2"/>
  <c r="H89" i="2" l="1"/>
  <c r="J89" i="2" s="1"/>
  <c r="I88" i="2"/>
  <c r="H90" i="2" l="1"/>
  <c r="J90" i="2" s="1"/>
  <c r="I89" i="2"/>
  <c r="H91" i="2" l="1"/>
  <c r="J91" i="2" s="1"/>
  <c r="I90" i="2"/>
  <c r="H92" i="2" l="1"/>
  <c r="J92" i="2" s="1"/>
  <c r="I91" i="2"/>
  <c r="H93" i="2" l="1"/>
  <c r="J93" i="2" s="1"/>
  <c r="I92" i="2"/>
  <c r="H94" i="2" l="1"/>
  <c r="J94" i="2" s="1"/>
  <c r="I93" i="2"/>
  <c r="H95" i="2" l="1"/>
  <c r="J95" i="2" s="1"/>
  <c r="I94" i="2"/>
  <c r="H96" i="2" l="1"/>
  <c r="J96" i="2" s="1"/>
  <c r="I95" i="2"/>
  <c r="H97" i="2" l="1"/>
  <c r="J97" i="2" s="1"/>
  <c r="I96" i="2"/>
  <c r="H98" i="2" l="1"/>
  <c r="J98" i="2" s="1"/>
  <c r="I97" i="2"/>
  <c r="H99" i="2" l="1"/>
  <c r="J99" i="2" s="1"/>
  <c r="I98" i="2"/>
  <c r="H100" i="2" l="1"/>
  <c r="J100" i="2" s="1"/>
  <c r="I99" i="2"/>
  <c r="H101" i="2" l="1"/>
  <c r="J101" i="2" s="1"/>
  <c r="I100" i="2"/>
  <c r="H102" i="2" l="1"/>
  <c r="J102" i="2" s="1"/>
  <c r="I101" i="2"/>
  <c r="H103" i="2" l="1"/>
  <c r="J103" i="2" s="1"/>
  <c r="I102" i="2"/>
  <c r="H104" i="2" l="1"/>
  <c r="J104" i="2" s="1"/>
  <c r="I103" i="2"/>
  <c r="H105" i="2" l="1"/>
  <c r="J105" i="2" s="1"/>
  <c r="I104" i="2"/>
  <c r="H106" i="2" l="1"/>
  <c r="J106" i="2" s="1"/>
  <c r="I105" i="2"/>
  <c r="H107" i="2" l="1"/>
  <c r="J107" i="2" s="1"/>
  <c r="I106" i="2"/>
  <c r="H108" i="2" l="1"/>
  <c r="J108" i="2" s="1"/>
  <c r="I107" i="2"/>
  <c r="H109" i="2" l="1"/>
  <c r="J109" i="2" s="1"/>
  <c r="I108" i="2"/>
  <c r="H110" i="2" l="1"/>
  <c r="J110" i="2" s="1"/>
  <c r="I109" i="2"/>
  <c r="H111" i="2" l="1"/>
  <c r="J111" i="2" s="1"/>
  <c r="I110" i="2"/>
  <c r="H112" i="2" l="1"/>
  <c r="J112" i="2" s="1"/>
  <c r="I111" i="2"/>
  <c r="H113" i="2" l="1"/>
  <c r="J113" i="2" s="1"/>
  <c r="I112" i="2"/>
  <c r="H114" i="2" l="1"/>
  <c r="J114" i="2" s="1"/>
  <c r="I113" i="2"/>
  <c r="H115" i="2" l="1"/>
  <c r="J115" i="2" s="1"/>
  <c r="I114" i="2"/>
  <c r="H116" i="2" l="1"/>
  <c r="J116" i="2" s="1"/>
  <c r="I115" i="2"/>
  <c r="H117" i="2" l="1"/>
  <c r="J117" i="2" s="1"/>
  <c r="I116" i="2"/>
  <c r="H118" i="2" l="1"/>
  <c r="J118" i="2" s="1"/>
  <c r="I117" i="2"/>
  <c r="H119" i="2" l="1"/>
  <c r="J119" i="2" s="1"/>
  <c r="I118" i="2"/>
  <c r="H120" i="2" l="1"/>
  <c r="J120" i="2" s="1"/>
  <c r="I119" i="2"/>
  <c r="H121" i="2" l="1"/>
  <c r="J121" i="2" s="1"/>
  <c r="I120" i="2"/>
  <c r="H122" i="2" l="1"/>
  <c r="J122" i="2" s="1"/>
  <c r="I121" i="2"/>
  <c r="H123" i="2" l="1"/>
  <c r="J123" i="2" s="1"/>
  <c r="I122" i="2"/>
  <c r="H124" i="2" l="1"/>
  <c r="J124" i="2" s="1"/>
  <c r="I123" i="2"/>
  <c r="H125" i="2" l="1"/>
  <c r="J125" i="2" s="1"/>
  <c r="I124" i="2"/>
  <c r="H126" i="2" l="1"/>
  <c r="J126" i="2" s="1"/>
  <c r="I125" i="2"/>
  <c r="H127" i="2" l="1"/>
  <c r="J127" i="2" s="1"/>
  <c r="I126" i="2"/>
  <c r="H128" i="2" l="1"/>
  <c r="J128" i="2" s="1"/>
  <c r="I127" i="2"/>
  <c r="H129" i="2" l="1"/>
  <c r="J129" i="2" s="1"/>
  <c r="I128" i="2"/>
  <c r="H130" i="2" l="1"/>
  <c r="J130" i="2" s="1"/>
  <c r="I129" i="2"/>
  <c r="H131" i="2" l="1"/>
  <c r="J131" i="2" s="1"/>
  <c r="I130" i="2"/>
  <c r="H132" i="2" l="1"/>
  <c r="J132" i="2" s="1"/>
  <c r="I131" i="2"/>
  <c r="H133" i="2" l="1"/>
  <c r="J133" i="2" s="1"/>
  <c r="I132" i="2"/>
  <c r="H134" i="2" l="1"/>
  <c r="J134" i="2" s="1"/>
  <c r="I133" i="2"/>
  <c r="H135" i="2" l="1"/>
  <c r="J135" i="2" s="1"/>
  <c r="I134" i="2"/>
  <c r="H136" i="2" l="1"/>
  <c r="J136" i="2" s="1"/>
  <c r="I135" i="2"/>
  <c r="H137" i="2" l="1"/>
  <c r="J137" i="2" s="1"/>
  <c r="I136" i="2"/>
  <c r="H138" i="2" l="1"/>
  <c r="J138" i="2" s="1"/>
  <c r="I137" i="2"/>
  <c r="H139" i="2" l="1"/>
  <c r="J139" i="2" s="1"/>
  <c r="I138" i="2"/>
  <c r="H140" i="2" l="1"/>
  <c r="J140" i="2" s="1"/>
  <c r="I139" i="2"/>
  <c r="H141" i="2" l="1"/>
  <c r="J141" i="2" s="1"/>
  <c r="I140" i="2"/>
  <c r="H142" i="2" l="1"/>
  <c r="J142" i="2" s="1"/>
  <c r="I141" i="2"/>
  <c r="H143" i="2" l="1"/>
  <c r="J143" i="2" s="1"/>
  <c r="I142" i="2"/>
  <c r="H144" i="2" l="1"/>
  <c r="J144" i="2" s="1"/>
  <c r="I143" i="2"/>
  <c r="H145" i="2" l="1"/>
  <c r="I144" i="2"/>
  <c r="I145" i="2" l="1"/>
  <c r="J145" i="2"/>
</calcChain>
</file>

<file path=xl/sharedStrings.xml><?xml version="1.0" encoding="utf-8"?>
<sst xmlns="http://schemas.openxmlformats.org/spreadsheetml/2006/main" count="74" uniqueCount="36">
  <si>
    <t>Name:</t>
  </si>
  <si>
    <t>Module:</t>
  </si>
  <si>
    <t>lab08</t>
  </si>
  <si>
    <t>Submitted:</t>
  </si>
  <si>
    <t>Returned:</t>
  </si>
  <si>
    <t>Task1:</t>
  </si>
  <si>
    <t>Generating a synthetic time series</t>
  </si>
  <si>
    <t>Task2:</t>
  </si>
  <si>
    <t>Identifying trends in a noisy time series</t>
  </si>
  <si>
    <t>Time series</t>
  </si>
  <si>
    <t>Realization 1</t>
  </si>
  <si>
    <t>Realization 2</t>
  </si>
  <si>
    <t>Realization 3</t>
  </si>
  <si>
    <t>Realization 4</t>
  </si>
  <si>
    <t>Realization 5</t>
  </si>
  <si>
    <t>Tsynth</t>
  </si>
  <si>
    <t>TsynthDBL</t>
  </si>
  <si>
    <t>Year</t>
  </si>
  <si>
    <t>T (degC)</t>
  </si>
  <si>
    <t>Tsynth1</t>
  </si>
  <si>
    <t>TsynthDBL1</t>
  </si>
  <si>
    <t>Tsynth2</t>
  </si>
  <si>
    <t>TsynthDBL2</t>
  </si>
  <si>
    <t>Tsynth3</t>
  </si>
  <si>
    <t>TsynthDBL3</t>
  </si>
  <si>
    <t>Tsynth4</t>
  </si>
  <si>
    <t>TsynthDBL4</t>
  </si>
  <si>
    <t>Tsynth5</t>
  </si>
  <si>
    <t>TsynthDBL5</t>
  </si>
  <si>
    <t>Table of trend values over the first 10 years</t>
  </si>
  <si>
    <t>Table of trend values over the first 50 years</t>
  </si>
  <si>
    <t>Leon Nguyen</t>
  </si>
  <si>
    <t>T Trend</t>
  </si>
  <si>
    <t>T Noise</t>
  </si>
  <si>
    <t>T Synthetic</t>
  </si>
  <si>
    <t>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</si>
</sst>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name val="Verdana"/>
      <family val="2"/>
    </font>
    <font>
      <b/>
      <i/>
      <sz val="10"/>
      <name val="Verdana"/>
      <family val="2"/>
    </font>
    <font>
      <b/>
      <sz val="14"/>
      <name val="Verdana"/>
      <family val="2"/>
    </font>
    <font>
      <sz val="10"/>
      <name val="Verdana"/>
      <family val="2"/>
    </font>
    <font>
      <b/>
      <sz val="12"/>
      <name val="Verdana"/>
      <family val="2"/>
    </font>
    <font>
      <sz val="12"/>
      <color rgb="FF000000"/>
      <name val="Arial"/>
      <family val="2"/>
    </font>
    <font>
      <b/>
      <sz val="12"/>
      <color rgb="FF000000"/>
      <name val="Arial"/>
      <family val="2"/>
    </font>
    <font>
      <b/>
      <sz val="11"/>
      <color theme="1"/>
      <name val="Aptos Narrow"/>
      <scheme val="minor"/>
    </font>
    <font>
      <sz val="8"/>
      <name val="Aptos Narrow"/>
      <family val="2"/>
      <scheme val="minor"/>
    </font>
  </fonts>
  <fills count="5">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4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horizontal="left"/>
    </xf>
    <xf numFmtId="0" fontId="3" fillId="3" borderId="1" xfId="0" applyFont="1" applyFill="1" applyBorder="1" applyAlignment="1">
      <alignment horizontal="left" vertical="top"/>
    </xf>
    <xf numFmtId="0" fontId="4" fillId="3" borderId="1" xfId="0" applyFont="1" applyFill="1" applyBorder="1" applyAlignment="1">
      <alignment horizontal="left" vertical="top"/>
    </xf>
    <xf numFmtId="0" fontId="5" fillId="0" borderId="0" xfId="0" applyFont="1" applyAlignment="1">
      <alignment horizontal="center"/>
    </xf>
    <xf numFmtId="0" fontId="5" fillId="0" borderId="0" xfId="0" applyFont="1"/>
    <xf numFmtId="11" fontId="5" fillId="0" borderId="0" xfId="0" applyNumberFormat="1" applyFont="1"/>
    <xf numFmtId="0" fontId="1" fillId="2" borderId="2" xfId="0" applyFont="1" applyFill="1" applyBorder="1"/>
    <xf numFmtId="0" fontId="1" fillId="2" borderId="3" xfId="0" applyFont="1" applyFill="1" applyBorder="1"/>
    <xf numFmtId="0" fontId="1" fillId="0" borderId="0" xfId="0" applyFont="1"/>
    <xf numFmtId="49" fontId="4" fillId="0" borderId="0" xfId="0" applyNumberFormat="1" applyFont="1" applyAlignment="1">
      <alignment wrapText="1"/>
    </xf>
    <xf numFmtId="0" fontId="1" fillId="0" borderId="0" xfId="0" applyFont="1" applyAlignment="1">
      <alignment vertical="top"/>
    </xf>
    <xf numFmtId="0" fontId="1" fillId="0" borderId="0" xfId="0" applyFont="1" applyAlignment="1">
      <alignment wrapText="1"/>
    </xf>
    <xf numFmtId="49" fontId="1" fillId="0" borderId="0" xfId="0" applyNumberFormat="1" applyFont="1" applyAlignment="1">
      <alignment wrapText="1"/>
    </xf>
    <xf numFmtId="49" fontId="4" fillId="0" borderId="0" xfId="0" applyNumberFormat="1" applyFont="1" applyAlignment="1">
      <alignment vertical="top" wrapText="1"/>
    </xf>
    <xf numFmtId="49" fontId="0" fillId="0" borderId="0" xfId="0" applyNumberFormat="1" applyAlignment="1">
      <alignment vertical="top" wrapText="1"/>
    </xf>
    <xf numFmtId="0" fontId="1" fillId="4" borderId="1" xfId="0" applyFont="1" applyFill="1" applyBorder="1"/>
    <xf numFmtId="0" fontId="0" fillId="4" borderId="1" xfId="0" applyFill="1" applyBorder="1"/>
    <xf numFmtId="0" fontId="1" fillId="0" borderId="0" xfId="0" applyFont="1" applyAlignment="1">
      <alignment vertical="top" wrapText="1"/>
    </xf>
    <xf numFmtId="0" fontId="6" fillId="0" borderId="0" xfId="0" applyFont="1" applyAlignment="1">
      <alignment horizontal="left" vertical="center" readingOrder="1"/>
    </xf>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2939035954051E-2"/>
          <c:y val="0.12914143589425844"/>
          <c:w val="0.90871226087441015"/>
          <c:h val="0.80777365958080294"/>
        </c:manualLayout>
      </c:layout>
      <c:scatterChart>
        <c:scatterStyle val="smoothMarker"/>
        <c:varyColors val="0"/>
        <c:ser>
          <c:idx val="0"/>
          <c:order val="0"/>
          <c:tx>
            <c:strRef>
              <c:f>Task1!$F$1</c:f>
              <c:strCache>
                <c:ptCount val="1"/>
                <c:pt idx="0">
                  <c:v>T (degC)</c:v>
                </c:pt>
              </c:strCache>
            </c:strRef>
          </c:tx>
          <c:spPr>
            <a:ln w="19050" cap="rnd">
              <a:solidFill>
                <a:schemeClr val="accent1"/>
              </a:solidFill>
              <a:round/>
            </a:ln>
            <a:effectLst/>
          </c:spPr>
          <c:marker>
            <c:symbol val="none"/>
          </c:marker>
          <c:xVal>
            <c:numRef>
              <c:f>Task1!$E$2:$E$145</c:f>
              <c:numCache>
                <c:formatCode>General</c:formatCode>
                <c:ptCount val="144"/>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pt idx="50">
                  <c:v>1930</c:v>
                </c:pt>
                <c:pt idx="51">
                  <c:v>1931</c:v>
                </c:pt>
                <c:pt idx="52">
                  <c:v>1932</c:v>
                </c:pt>
                <c:pt idx="53">
                  <c:v>1933</c:v>
                </c:pt>
                <c:pt idx="54">
                  <c:v>1934</c:v>
                </c:pt>
                <c:pt idx="55">
                  <c:v>1935</c:v>
                </c:pt>
                <c:pt idx="56">
                  <c:v>1936</c:v>
                </c:pt>
                <c:pt idx="57">
                  <c:v>1937</c:v>
                </c:pt>
                <c:pt idx="58">
                  <c:v>1938</c:v>
                </c:pt>
                <c:pt idx="59">
                  <c:v>1939</c:v>
                </c:pt>
                <c:pt idx="60">
                  <c:v>1940</c:v>
                </c:pt>
                <c:pt idx="61">
                  <c:v>1941</c:v>
                </c:pt>
                <c:pt idx="62">
                  <c:v>1942</c:v>
                </c:pt>
                <c:pt idx="63">
                  <c:v>1943</c:v>
                </c:pt>
                <c:pt idx="64">
                  <c:v>1944</c:v>
                </c:pt>
                <c:pt idx="65">
                  <c:v>1945</c:v>
                </c:pt>
                <c:pt idx="66">
                  <c:v>1946</c:v>
                </c:pt>
                <c:pt idx="67">
                  <c:v>1947</c:v>
                </c:pt>
                <c:pt idx="68">
                  <c:v>1948</c:v>
                </c:pt>
                <c:pt idx="69">
                  <c:v>1949</c:v>
                </c:pt>
                <c:pt idx="70">
                  <c:v>1950</c:v>
                </c:pt>
                <c:pt idx="71">
                  <c:v>1951</c:v>
                </c:pt>
                <c:pt idx="72">
                  <c:v>1952</c:v>
                </c:pt>
                <c:pt idx="73">
                  <c:v>1953</c:v>
                </c:pt>
                <c:pt idx="74">
                  <c:v>1954</c:v>
                </c:pt>
                <c:pt idx="75">
                  <c:v>1955</c:v>
                </c:pt>
                <c:pt idx="76">
                  <c:v>1956</c:v>
                </c:pt>
                <c:pt idx="77">
                  <c:v>1957</c:v>
                </c:pt>
                <c:pt idx="78">
                  <c:v>1958</c:v>
                </c:pt>
                <c:pt idx="79">
                  <c:v>1959</c:v>
                </c:pt>
                <c:pt idx="80">
                  <c:v>1960</c:v>
                </c:pt>
                <c:pt idx="81">
                  <c:v>1961</c:v>
                </c:pt>
                <c:pt idx="82">
                  <c:v>1962</c:v>
                </c:pt>
                <c:pt idx="83">
                  <c:v>1963</c:v>
                </c:pt>
                <c:pt idx="84">
                  <c:v>1964</c:v>
                </c:pt>
                <c:pt idx="85">
                  <c:v>1965</c:v>
                </c:pt>
                <c:pt idx="86">
                  <c:v>1966</c:v>
                </c:pt>
                <c:pt idx="87">
                  <c:v>1967</c:v>
                </c:pt>
                <c:pt idx="88">
                  <c:v>1968</c:v>
                </c:pt>
                <c:pt idx="89">
                  <c:v>1969</c:v>
                </c:pt>
                <c:pt idx="90">
                  <c:v>1970</c:v>
                </c:pt>
                <c:pt idx="91">
                  <c:v>1971</c:v>
                </c:pt>
                <c:pt idx="92">
                  <c:v>1972</c:v>
                </c:pt>
                <c:pt idx="93">
                  <c:v>1973</c:v>
                </c:pt>
                <c:pt idx="94">
                  <c:v>1974</c:v>
                </c:pt>
                <c:pt idx="95">
                  <c:v>1975</c:v>
                </c:pt>
                <c:pt idx="96">
                  <c:v>1976</c:v>
                </c:pt>
                <c:pt idx="97">
                  <c:v>1977</c:v>
                </c:pt>
                <c:pt idx="98">
                  <c:v>1978</c:v>
                </c:pt>
                <c:pt idx="99">
                  <c:v>1979</c:v>
                </c:pt>
                <c:pt idx="100">
                  <c:v>1980</c:v>
                </c:pt>
                <c:pt idx="101">
                  <c:v>1981</c:v>
                </c:pt>
                <c:pt idx="102">
                  <c:v>1982</c:v>
                </c:pt>
                <c:pt idx="103">
                  <c:v>1983</c:v>
                </c:pt>
                <c:pt idx="104">
                  <c:v>1984</c:v>
                </c:pt>
                <c:pt idx="105">
                  <c:v>1985</c:v>
                </c:pt>
                <c:pt idx="106">
                  <c:v>1986</c:v>
                </c:pt>
                <c:pt idx="107">
                  <c:v>1987</c:v>
                </c:pt>
                <c:pt idx="108">
                  <c:v>1988</c:v>
                </c:pt>
                <c:pt idx="109">
                  <c:v>1989</c:v>
                </c:pt>
                <c:pt idx="110">
                  <c:v>1990</c:v>
                </c:pt>
                <c:pt idx="111">
                  <c:v>1991</c:v>
                </c:pt>
                <c:pt idx="112">
                  <c:v>1992</c:v>
                </c:pt>
                <c:pt idx="113">
                  <c:v>1993</c:v>
                </c:pt>
                <c:pt idx="114">
                  <c:v>1994</c:v>
                </c:pt>
                <c:pt idx="115">
                  <c:v>1995</c:v>
                </c:pt>
                <c:pt idx="116">
                  <c:v>1996</c:v>
                </c:pt>
                <c:pt idx="117">
                  <c:v>1997</c:v>
                </c:pt>
                <c:pt idx="118">
                  <c:v>1998</c:v>
                </c:pt>
                <c:pt idx="119">
                  <c:v>1999</c:v>
                </c:pt>
                <c:pt idx="120">
                  <c:v>2000</c:v>
                </c:pt>
                <c:pt idx="121">
                  <c:v>2001</c:v>
                </c:pt>
                <c:pt idx="122">
                  <c:v>2002</c:v>
                </c:pt>
                <c:pt idx="123">
                  <c:v>2003</c:v>
                </c:pt>
                <c:pt idx="124">
                  <c:v>2004</c:v>
                </c:pt>
                <c:pt idx="125">
                  <c:v>2005</c:v>
                </c:pt>
                <c:pt idx="126">
                  <c:v>2006</c:v>
                </c:pt>
                <c:pt idx="127">
                  <c:v>2007</c:v>
                </c:pt>
                <c:pt idx="128">
                  <c:v>2008</c:v>
                </c:pt>
                <c:pt idx="129">
                  <c:v>2009</c:v>
                </c:pt>
                <c:pt idx="130">
                  <c:v>2010</c:v>
                </c:pt>
                <c:pt idx="131">
                  <c:v>2011</c:v>
                </c:pt>
                <c:pt idx="132">
                  <c:v>2012</c:v>
                </c:pt>
                <c:pt idx="133">
                  <c:v>2013</c:v>
                </c:pt>
                <c:pt idx="134">
                  <c:v>2014</c:v>
                </c:pt>
                <c:pt idx="135">
                  <c:v>2015</c:v>
                </c:pt>
                <c:pt idx="136">
                  <c:v>2016</c:v>
                </c:pt>
                <c:pt idx="137">
                  <c:v>2017</c:v>
                </c:pt>
                <c:pt idx="138">
                  <c:v>2018</c:v>
                </c:pt>
                <c:pt idx="139">
                  <c:v>2019</c:v>
                </c:pt>
                <c:pt idx="140">
                  <c:v>2020</c:v>
                </c:pt>
                <c:pt idx="141">
                  <c:v>2021</c:v>
                </c:pt>
                <c:pt idx="142">
                  <c:v>2022</c:v>
                </c:pt>
                <c:pt idx="143">
                  <c:v>2023</c:v>
                </c:pt>
              </c:numCache>
            </c:numRef>
          </c:xVal>
          <c:yVal>
            <c:numRef>
              <c:f>Task1!$F$2:$F$145</c:f>
              <c:numCache>
                <c:formatCode>General</c:formatCode>
                <c:ptCount val="144"/>
                <c:pt idx="0">
                  <c:v>13.75</c:v>
                </c:pt>
                <c:pt idx="1">
                  <c:v>13.81</c:v>
                </c:pt>
                <c:pt idx="2">
                  <c:v>13.78</c:v>
                </c:pt>
                <c:pt idx="3">
                  <c:v>13.77</c:v>
                </c:pt>
                <c:pt idx="4">
                  <c:v>13.7</c:v>
                </c:pt>
                <c:pt idx="5">
                  <c:v>13.69</c:v>
                </c:pt>
                <c:pt idx="6">
                  <c:v>13.75</c:v>
                </c:pt>
                <c:pt idx="7">
                  <c:v>13.65</c:v>
                </c:pt>
                <c:pt idx="8">
                  <c:v>13.74</c:v>
                </c:pt>
                <c:pt idx="9">
                  <c:v>13.85</c:v>
                </c:pt>
                <c:pt idx="10">
                  <c:v>13.63</c:v>
                </c:pt>
                <c:pt idx="11">
                  <c:v>13.72</c:v>
                </c:pt>
                <c:pt idx="12">
                  <c:v>13.68</c:v>
                </c:pt>
                <c:pt idx="13">
                  <c:v>13.68</c:v>
                </c:pt>
                <c:pt idx="14">
                  <c:v>13.67</c:v>
                </c:pt>
                <c:pt idx="15">
                  <c:v>13.73</c:v>
                </c:pt>
                <c:pt idx="16">
                  <c:v>13.83</c:v>
                </c:pt>
                <c:pt idx="17">
                  <c:v>13.88</c:v>
                </c:pt>
                <c:pt idx="18">
                  <c:v>13.76</c:v>
                </c:pt>
                <c:pt idx="19">
                  <c:v>13.83</c:v>
                </c:pt>
                <c:pt idx="20">
                  <c:v>13.9</c:v>
                </c:pt>
                <c:pt idx="21">
                  <c:v>13.84</c:v>
                </c:pt>
                <c:pt idx="22">
                  <c:v>13.73</c:v>
                </c:pt>
                <c:pt idx="23">
                  <c:v>13.69</c:v>
                </c:pt>
                <c:pt idx="24">
                  <c:v>13.66</c:v>
                </c:pt>
                <c:pt idx="25">
                  <c:v>13.75</c:v>
                </c:pt>
                <c:pt idx="26">
                  <c:v>13.8</c:v>
                </c:pt>
                <c:pt idx="27">
                  <c:v>13.61</c:v>
                </c:pt>
                <c:pt idx="28">
                  <c:v>13.66</c:v>
                </c:pt>
                <c:pt idx="29">
                  <c:v>13.65</c:v>
                </c:pt>
                <c:pt idx="30">
                  <c:v>13.67</c:v>
                </c:pt>
                <c:pt idx="31">
                  <c:v>13.66</c:v>
                </c:pt>
                <c:pt idx="32">
                  <c:v>13.66</c:v>
                </c:pt>
                <c:pt idx="33">
                  <c:v>13.68</c:v>
                </c:pt>
                <c:pt idx="34">
                  <c:v>13.85</c:v>
                </c:pt>
                <c:pt idx="35">
                  <c:v>13.91</c:v>
                </c:pt>
                <c:pt idx="36">
                  <c:v>13.69</c:v>
                </c:pt>
                <c:pt idx="37">
                  <c:v>13.6</c:v>
                </c:pt>
                <c:pt idx="38">
                  <c:v>13.68</c:v>
                </c:pt>
                <c:pt idx="39">
                  <c:v>13.79</c:v>
                </c:pt>
                <c:pt idx="40">
                  <c:v>13.81</c:v>
                </c:pt>
                <c:pt idx="41">
                  <c:v>13.87</c:v>
                </c:pt>
                <c:pt idx="42">
                  <c:v>13.76</c:v>
                </c:pt>
                <c:pt idx="43">
                  <c:v>13.8</c:v>
                </c:pt>
                <c:pt idx="44">
                  <c:v>13.79</c:v>
                </c:pt>
                <c:pt idx="45">
                  <c:v>13.84</c:v>
                </c:pt>
                <c:pt idx="46">
                  <c:v>13.99</c:v>
                </c:pt>
                <c:pt idx="47">
                  <c:v>13.87</c:v>
                </c:pt>
                <c:pt idx="48">
                  <c:v>13.89</c:v>
                </c:pt>
                <c:pt idx="49">
                  <c:v>13.75</c:v>
                </c:pt>
                <c:pt idx="50">
                  <c:v>13.93</c:v>
                </c:pt>
                <c:pt idx="51">
                  <c:v>13.99</c:v>
                </c:pt>
                <c:pt idx="52">
                  <c:v>13.94</c:v>
                </c:pt>
                <c:pt idx="53">
                  <c:v>13.83</c:v>
                </c:pt>
                <c:pt idx="54">
                  <c:v>13.95</c:v>
                </c:pt>
                <c:pt idx="55">
                  <c:v>13.9</c:v>
                </c:pt>
                <c:pt idx="56">
                  <c:v>13.96</c:v>
                </c:pt>
                <c:pt idx="57">
                  <c:v>14.08</c:v>
                </c:pt>
                <c:pt idx="58">
                  <c:v>14.11</c:v>
                </c:pt>
                <c:pt idx="59">
                  <c:v>14.03</c:v>
                </c:pt>
                <c:pt idx="60">
                  <c:v>14.05</c:v>
                </c:pt>
                <c:pt idx="61">
                  <c:v>14.11</c:v>
                </c:pt>
                <c:pt idx="62">
                  <c:v>14.04</c:v>
                </c:pt>
                <c:pt idx="63">
                  <c:v>14.1</c:v>
                </c:pt>
                <c:pt idx="64">
                  <c:v>14.2</c:v>
                </c:pt>
                <c:pt idx="65">
                  <c:v>14.07</c:v>
                </c:pt>
                <c:pt idx="66">
                  <c:v>13.96</c:v>
                </c:pt>
                <c:pt idx="67">
                  <c:v>14.01</c:v>
                </c:pt>
                <c:pt idx="68">
                  <c:v>13.96</c:v>
                </c:pt>
                <c:pt idx="69">
                  <c:v>13.94</c:v>
                </c:pt>
                <c:pt idx="70">
                  <c:v>13.85</c:v>
                </c:pt>
                <c:pt idx="71">
                  <c:v>13.96</c:v>
                </c:pt>
                <c:pt idx="72">
                  <c:v>14.03</c:v>
                </c:pt>
                <c:pt idx="73">
                  <c:v>14.11</c:v>
                </c:pt>
                <c:pt idx="74">
                  <c:v>13.9</c:v>
                </c:pt>
                <c:pt idx="75">
                  <c:v>13.9</c:v>
                </c:pt>
                <c:pt idx="76">
                  <c:v>13.83</c:v>
                </c:pt>
                <c:pt idx="77">
                  <c:v>14.07</c:v>
                </c:pt>
                <c:pt idx="78">
                  <c:v>14.08</c:v>
                </c:pt>
                <c:pt idx="79">
                  <c:v>14.06</c:v>
                </c:pt>
                <c:pt idx="80">
                  <c:v>13.99</c:v>
                </c:pt>
                <c:pt idx="81">
                  <c:v>14.08</c:v>
                </c:pt>
                <c:pt idx="82">
                  <c:v>14.04</c:v>
                </c:pt>
                <c:pt idx="83">
                  <c:v>14.08</c:v>
                </c:pt>
                <c:pt idx="84">
                  <c:v>13.79</c:v>
                </c:pt>
                <c:pt idx="85">
                  <c:v>13.89</c:v>
                </c:pt>
                <c:pt idx="86">
                  <c:v>13.97</c:v>
                </c:pt>
                <c:pt idx="87">
                  <c:v>14</c:v>
                </c:pt>
                <c:pt idx="88">
                  <c:v>13.96</c:v>
                </c:pt>
                <c:pt idx="89">
                  <c:v>14.08</c:v>
                </c:pt>
                <c:pt idx="90">
                  <c:v>14.03</c:v>
                </c:pt>
                <c:pt idx="91">
                  <c:v>13.9</c:v>
                </c:pt>
                <c:pt idx="92">
                  <c:v>14</c:v>
                </c:pt>
                <c:pt idx="93">
                  <c:v>14.14</c:v>
                </c:pt>
                <c:pt idx="94">
                  <c:v>13.92</c:v>
                </c:pt>
                <c:pt idx="95">
                  <c:v>13.95</c:v>
                </c:pt>
                <c:pt idx="96">
                  <c:v>13.84</c:v>
                </c:pt>
                <c:pt idx="97">
                  <c:v>14.13</c:v>
                </c:pt>
                <c:pt idx="98">
                  <c:v>14.02</c:v>
                </c:pt>
                <c:pt idx="99">
                  <c:v>14.09</c:v>
                </c:pt>
                <c:pt idx="100">
                  <c:v>14.18</c:v>
                </c:pt>
                <c:pt idx="101">
                  <c:v>14.26</c:v>
                </c:pt>
                <c:pt idx="102">
                  <c:v>14.05</c:v>
                </c:pt>
                <c:pt idx="103">
                  <c:v>14.26</c:v>
                </c:pt>
                <c:pt idx="104">
                  <c:v>14.09</c:v>
                </c:pt>
                <c:pt idx="105">
                  <c:v>14.05</c:v>
                </c:pt>
                <c:pt idx="106">
                  <c:v>14.12</c:v>
                </c:pt>
                <c:pt idx="107">
                  <c:v>14.26</c:v>
                </c:pt>
                <c:pt idx="108">
                  <c:v>14.31</c:v>
                </c:pt>
                <c:pt idx="109">
                  <c:v>14.2</c:v>
                </c:pt>
                <c:pt idx="110">
                  <c:v>14.38</c:v>
                </c:pt>
                <c:pt idx="111">
                  <c:v>14.35</c:v>
                </c:pt>
                <c:pt idx="112">
                  <c:v>14.12</c:v>
                </c:pt>
                <c:pt idx="113">
                  <c:v>14.14</c:v>
                </c:pt>
                <c:pt idx="114">
                  <c:v>14.23</c:v>
                </c:pt>
                <c:pt idx="115">
                  <c:v>14.38</c:v>
                </c:pt>
                <c:pt idx="116">
                  <c:v>14.29</c:v>
                </c:pt>
                <c:pt idx="117">
                  <c:v>14.39</c:v>
                </c:pt>
                <c:pt idx="118">
                  <c:v>14.57</c:v>
                </c:pt>
                <c:pt idx="119">
                  <c:v>14.32</c:v>
                </c:pt>
                <c:pt idx="120">
                  <c:v>14.33</c:v>
                </c:pt>
                <c:pt idx="121">
                  <c:v>14.48</c:v>
                </c:pt>
                <c:pt idx="122">
                  <c:v>14.56</c:v>
                </c:pt>
                <c:pt idx="123">
                  <c:v>14.55</c:v>
                </c:pt>
                <c:pt idx="124">
                  <c:v>14.48</c:v>
                </c:pt>
                <c:pt idx="125">
                  <c:v>14.62</c:v>
                </c:pt>
                <c:pt idx="126">
                  <c:v>14.54</c:v>
                </c:pt>
                <c:pt idx="127">
                  <c:v>14.56</c:v>
                </c:pt>
                <c:pt idx="128">
                  <c:v>14.44</c:v>
                </c:pt>
                <c:pt idx="129">
                  <c:v>14.63</c:v>
                </c:pt>
                <c:pt idx="130">
                  <c:v>14.76</c:v>
                </c:pt>
                <c:pt idx="131">
                  <c:v>14.6</c:v>
                </c:pt>
                <c:pt idx="132">
                  <c:v>14.64</c:v>
                </c:pt>
                <c:pt idx="133">
                  <c:v>14.73</c:v>
                </c:pt>
                <c:pt idx="134">
                  <c:v>14.78</c:v>
                </c:pt>
                <c:pt idx="135">
                  <c:v>14.87</c:v>
                </c:pt>
                <c:pt idx="136">
                  <c:v>15.02</c:v>
                </c:pt>
                <c:pt idx="137">
                  <c:v>14.91</c:v>
                </c:pt>
                <c:pt idx="138">
                  <c:v>14.88</c:v>
                </c:pt>
                <c:pt idx="139">
                  <c:v>14.93</c:v>
                </c:pt>
                <c:pt idx="140">
                  <c:v>15.05</c:v>
                </c:pt>
                <c:pt idx="141">
                  <c:v>14.91</c:v>
                </c:pt>
                <c:pt idx="142">
                  <c:v>14.98</c:v>
                </c:pt>
                <c:pt idx="143">
                  <c:v>15.01</c:v>
                </c:pt>
              </c:numCache>
            </c:numRef>
          </c:yVal>
          <c:smooth val="1"/>
          <c:extLst>
            <c:ext xmlns:c16="http://schemas.microsoft.com/office/drawing/2014/chart" uri="{C3380CC4-5D6E-409C-BE32-E72D297353CC}">
              <c16:uniqueId val="{00000000-4225-124D-AD89-079134EA22C4}"/>
            </c:ext>
          </c:extLst>
        </c:ser>
        <c:ser>
          <c:idx val="1"/>
          <c:order val="1"/>
          <c:tx>
            <c:v>T Trend</c:v>
          </c:tx>
          <c:spPr>
            <a:ln w="19050" cap="rnd">
              <a:solidFill>
                <a:schemeClr val="accent2"/>
              </a:solidFill>
              <a:round/>
            </a:ln>
            <a:effectLst/>
          </c:spPr>
          <c:marker>
            <c:symbol val="none"/>
          </c:marker>
          <c:xVal>
            <c:numRef>
              <c:f>Task1!$E$2:$E$145</c:f>
              <c:numCache>
                <c:formatCode>General</c:formatCode>
                <c:ptCount val="144"/>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pt idx="50">
                  <c:v>1930</c:v>
                </c:pt>
                <c:pt idx="51">
                  <c:v>1931</c:v>
                </c:pt>
                <c:pt idx="52">
                  <c:v>1932</c:v>
                </c:pt>
                <c:pt idx="53">
                  <c:v>1933</c:v>
                </c:pt>
                <c:pt idx="54">
                  <c:v>1934</c:v>
                </c:pt>
                <c:pt idx="55">
                  <c:v>1935</c:v>
                </c:pt>
                <c:pt idx="56">
                  <c:v>1936</c:v>
                </c:pt>
                <c:pt idx="57">
                  <c:v>1937</c:v>
                </c:pt>
                <c:pt idx="58">
                  <c:v>1938</c:v>
                </c:pt>
                <c:pt idx="59">
                  <c:v>1939</c:v>
                </c:pt>
                <c:pt idx="60">
                  <c:v>1940</c:v>
                </c:pt>
                <c:pt idx="61">
                  <c:v>1941</c:v>
                </c:pt>
                <c:pt idx="62">
                  <c:v>1942</c:v>
                </c:pt>
                <c:pt idx="63">
                  <c:v>1943</c:v>
                </c:pt>
                <c:pt idx="64">
                  <c:v>1944</c:v>
                </c:pt>
                <c:pt idx="65">
                  <c:v>1945</c:v>
                </c:pt>
                <c:pt idx="66">
                  <c:v>1946</c:v>
                </c:pt>
                <c:pt idx="67">
                  <c:v>1947</c:v>
                </c:pt>
                <c:pt idx="68">
                  <c:v>1948</c:v>
                </c:pt>
                <c:pt idx="69">
                  <c:v>1949</c:v>
                </c:pt>
                <c:pt idx="70">
                  <c:v>1950</c:v>
                </c:pt>
                <c:pt idx="71">
                  <c:v>1951</c:v>
                </c:pt>
                <c:pt idx="72">
                  <c:v>1952</c:v>
                </c:pt>
                <c:pt idx="73">
                  <c:v>1953</c:v>
                </c:pt>
                <c:pt idx="74">
                  <c:v>1954</c:v>
                </c:pt>
                <c:pt idx="75">
                  <c:v>1955</c:v>
                </c:pt>
                <c:pt idx="76">
                  <c:v>1956</c:v>
                </c:pt>
                <c:pt idx="77">
                  <c:v>1957</c:v>
                </c:pt>
                <c:pt idx="78">
                  <c:v>1958</c:v>
                </c:pt>
                <c:pt idx="79">
                  <c:v>1959</c:v>
                </c:pt>
                <c:pt idx="80">
                  <c:v>1960</c:v>
                </c:pt>
                <c:pt idx="81">
                  <c:v>1961</c:v>
                </c:pt>
                <c:pt idx="82">
                  <c:v>1962</c:v>
                </c:pt>
                <c:pt idx="83">
                  <c:v>1963</c:v>
                </c:pt>
                <c:pt idx="84">
                  <c:v>1964</c:v>
                </c:pt>
                <c:pt idx="85">
                  <c:v>1965</c:v>
                </c:pt>
                <c:pt idx="86">
                  <c:v>1966</c:v>
                </c:pt>
                <c:pt idx="87">
                  <c:v>1967</c:v>
                </c:pt>
                <c:pt idx="88">
                  <c:v>1968</c:v>
                </c:pt>
                <c:pt idx="89">
                  <c:v>1969</c:v>
                </c:pt>
                <c:pt idx="90">
                  <c:v>1970</c:v>
                </c:pt>
                <c:pt idx="91">
                  <c:v>1971</c:v>
                </c:pt>
                <c:pt idx="92">
                  <c:v>1972</c:v>
                </c:pt>
                <c:pt idx="93">
                  <c:v>1973</c:v>
                </c:pt>
                <c:pt idx="94">
                  <c:v>1974</c:v>
                </c:pt>
                <c:pt idx="95">
                  <c:v>1975</c:v>
                </c:pt>
                <c:pt idx="96">
                  <c:v>1976</c:v>
                </c:pt>
                <c:pt idx="97">
                  <c:v>1977</c:v>
                </c:pt>
                <c:pt idx="98">
                  <c:v>1978</c:v>
                </c:pt>
                <c:pt idx="99">
                  <c:v>1979</c:v>
                </c:pt>
                <c:pt idx="100">
                  <c:v>1980</c:v>
                </c:pt>
                <c:pt idx="101">
                  <c:v>1981</c:v>
                </c:pt>
                <c:pt idx="102">
                  <c:v>1982</c:v>
                </c:pt>
                <c:pt idx="103">
                  <c:v>1983</c:v>
                </c:pt>
                <c:pt idx="104">
                  <c:v>1984</c:v>
                </c:pt>
                <c:pt idx="105">
                  <c:v>1985</c:v>
                </c:pt>
                <c:pt idx="106">
                  <c:v>1986</c:v>
                </c:pt>
                <c:pt idx="107">
                  <c:v>1987</c:v>
                </c:pt>
                <c:pt idx="108">
                  <c:v>1988</c:v>
                </c:pt>
                <c:pt idx="109">
                  <c:v>1989</c:v>
                </c:pt>
                <c:pt idx="110">
                  <c:v>1990</c:v>
                </c:pt>
                <c:pt idx="111">
                  <c:v>1991</c:v>
                </c:pt>
                <c:pt idx="112">
                  <c:v>1992</c:v>
                </c:pt>
                <c:pt idx="113">
                  <c:v>1993</c:v>
                </c:pt>
                <c:pt idx="114">
                  <c:v>1994</c:v>
                </c:pt>
                <c:pt idx="115">
                  <c:v>1995</c:v>
                </c:pt>
                <c:pt idx="116">
                  <c:v>1996</c:v>
                </c:pt>
                <c:pt idx="117">
                  <c:v>1997</c:v>
                </c:pt>
                <c:pt idx="118">
                  <c:v>1998</c:v>
                </c:pt>
                <c:pt idx="119">
                  <c:v>1999</c:v>
                </c:pt>
                <c:pt idx="120">
                  <c:v>2000</c:v>
                </c:pt>
                <c:pt idx="121">
                  <c:v>2001</c:v>
                </c:pt>
                <c:pt idx="122">
                  <c:v>2002</c:v>
                </c:pt>
                <c:pt idx="123">
                  <c:v>2003</c:v>
                </c:pt>
                <c:pt idx="124">
                  <c:v>2004</c:v>
                </c:pt>
                <c:pt idx="125">
                  <c:v>2005</c:v>
                </c:pt>
                <c:pt idx="126">
                  <c:v>2006</c:v>
                </c:pt>
                <c:pt idx="127">
                  <c:v>2007</c:v>
                </c:pt>
                <c:pt idx="128">
                  <c:v>2008</c:v>
                </c:pt>
                <c:pt idx="129">
                  <c:v>2009</c:v>
                </c:pt>
                <c:pt idx="130">
                  <c:v>2010</c:v>
                </c:pt>
                <c:pt idx="131">
                  <c:v>2011</c:v>
                </c:pt>
                <c:pt idx="132">
                  <c:v>2012</c:v>
                </c:pt>
                <c:pt idx="133">
                  <c:v>2013</c:v>
                </c:pt>
                <c:pt idx="134">
                  <c:v>2014</c:v>
                </c:pt>
                <c:pt idx="135">
                  <c:v>2015</c:v>
                </c:pt>
                <c:pt idx="136">
                  <c:v>2016</c:v>
                </c:pt>
                <c:pt idx="137">
                  <c:v>2017</c:v>
                </c:pt>
                <c:pt idx="138">
                  <c:v>2018</c:v>
                </c:pt>
                <c:pt idx="139">
                  <c:v>2019</c:v>
                </c:pt>
                <c:pt idx="140">
                  <c:v>2020</c:v>
                </c:pt>
                <c:pt idx="141">
                  <c:v>2021</c:v>
                </c:pt>
                <c:pt idx="142">
                  <c:v>2022</c:v>
                </c:pt>
                <c:pt idx="143">
                  <c:v>2023</c:v>
                </c:pt>
              </c:numCache>
            </c:numRef>
          </c:xVal>
          <c:yVal>
            <c:numRef>
              <c:f>Task1!$G$2:$G$145</c:f>
              <c:numCache>
                <c:formatCode>General</c:formatCode>
                <c:ptCount val="144"/>
                <c:pt idx="0">
                  <c:v>13.616695289206914</c:v>
                </c:pt>
                <c:pt idx="1">
                  <c:v>13.622334376863444</c:v>
                </c:pt>
                <c:pt idx="2">
                  <c:v>13.627973464519973</c:v>
                </c:pt>
                <c:pt idx="3">
                  <c:v>13.633612552176503</c:v>
                </c:pt>
                <c:pt idx="4">
                  <c:v>13.639251639833033</c:v>
                </c:pt>
                <c:pt idx="5">
                  <c:v>13.644890727489562</c:v>
                </c:pt>
                <c:pt idx="6">
                  <c:v>13.650529815146092</c:v>
                </c:pt>
                <c:pt idx="7">
                  <c:v>13.656168902802621</c:v>
                </c:pt>
                <c:pt idx="8">
                  <c:v>13.661807990459151</c:v>
                </c:pt>
                <c:pt idx="9">
                  <c:v>13.66744707811568</c:v>
                </c:pt>
                <c:pt idx="10">
                  <c:v>13.67308616577221</c:v>
                </c:pt>
                <c:pt idx="11">
                  <c:v>13.678725253428739</c:v>
                </c:pt>
                <c:pt idx="12">
                  <c:v>13.684364341085269</c:v>
                </c:pt>
                <c:pt idx="13">
                  <c:v>13.690003428741798</c:v>
                </c:pt>
                <c:pt idx="14">
                  <c:v>13.695642516398328</c:v>
                </c:pt>
                <c:pt idx="15">
                  <c:v>13.701281604054858</c:v>
                </c:pt>
                <c:pt idx="16">
                  <c:v>13.706920691711387</c:v>
                </c:pt>
                <c:pt idx="17">
                  <c:v>13.712559779367917</c:v>
                </c:pt>
                <c:pt idx="18">
                  <c:v>13.718198867024446</c:v>
                </c:pt>
                <c:pt idx="19">
                  <c:v>13.723837954680976</c:v>
                </c:pt>
                <c:pt idx="20">
                  <c:v>13.729477042337505</c:v>
                </c:pt>
                <c:pt idx="21">
                  <c:v>13.735116129994035</c:v>
                </c:pt>
                <c:pt idx="22">
                  <c:v>13.740755217650564</c:v>
                </c:pt>
                <c:pt idx="23">
                  <c:v>13.746394305307094</c:v>
                </c:pt>
                <c:pt idx="24">
                  <c:v>13.752033392963623</c:v>
                </c:pt>
                <c:pt idx="25">
                  <c:v>13.757672480620153</c:v>
                </c:pt>
                <c:pt idx="26">
                  <c:v>13.763311568276682</c:v>
                </c:pt>
                <c:pt idx="27">
                  <c:v>13.768950655933212</c:v>
                </c:pt>
                <c:pt idx="28">
                  <c:v>13.774589743589742</c:v>
                </c:pt>
                <c:pt idx="29">
                  <c:v>13.780228831246271</c:v>
                </c:pt>
                <c:pt idx="30">
                  <c:v>13.785867918902801</c:v>
                </c:pt>
                <c:pt idx="31">
                  <c:v>13.79150700655933</c:v>
                </c:pt>
                <c:pt idx="32">
                  <c:v>13.79714609421586</c:v>
                </c:pt>
                <c:pt idx="33">
                  <c:v>13.802785181872389</c:v>
                </c:pt>
                <c:pt idx="34">
                  <c:v>13.808424269528919</c:v>
                </c:pt>
                <c:pt idx="35">
                  <c:v>13.814063357185448</c:v>
                </c:pt>
                <c:pt idx="36">
                  <c:v>13.819702444841978</c:v>
                </c:pt>
                <c:pt idx="37">
                  <c:v>13.825341532498507</c:v>
                </c:pt>
                <c:pt idx="38">
                  <c:v>13.830980620155037</c:v>
                </c:pt>
                <c:pt idx="39">
                  <c:v>13.836619707811566</c:v>
                </c:pt>
                <c:pt idx="40">
                  <c:v>13.842258795468096</c:v>
                </c:pt>
                <c:pt idx="41">
                  <c:v>13.847897883124626</c:v>
                </c:pt>
                <c:pt idx="42">
                  <c:v>13.853536970781155</c:v>
                </c:pt>
                <c:pt idx="43">
                  <c:v>13.859176058437685</c:v>
                </c:pt>
                <c:pt idx="44">
                  <c:v>13.864815146094214</c:v>
                </c:pt>
                <c:pt idx="45">
                  <c:v>13.870454233750744</c:v>
                </c:pt>
                <c:pt idx="46">
                  <c:v>13.876093321407271</c:v>
                </c:pt>
                <c:pt idx="47">
                  <c:v>13.881732409063801</c:v>
                </c:pt>
                <c:pt idx="48">
                  <c:v>13.887371496720331</c:v>
                </c:pt>
                <c:pt idx="49">
                  <c:v>13.89301058437686</c:v>
                </c:pt>
                <c:pt idx="50">
                  <c:v>13.89864967203339</c:v>
                </c:pt>
                <c:pt idx="51">
                  <c:v>13.904288759689919</c:v>
                </c:pt>
                <c:pt idx="52">
                  <c:v>13.909927847346449</c:v>
                </c:pt>
                <c:pt idx="53">
                  <c:v>13.915566935002978</c:v>
                </c:pt>
                <c:pt idx="54">
                  <c:v>13.921206022659508</c:v>
                </c:pt>
                <c:pt idx="55">
                  <c:v>13.926845110316037</c:v>
                </c:pt>
                <c:pt idx="56">
                  <c:v>13.932484197972567</c:v>
                </c:pt>
                <c:pt idx="57">
                  <c:v>13.938123285629096</c:v>
                </c:pt>
                <c:pt idx="58">
                  <c:v>13.943762373285626</c:v>
                </c:pt>
                <c:pt idx="59">
                  <c:v>13.949401460942155</c:v>
                </c:pt>
                <c:pt idx="60">
                  <c:v>13.955040548598685</c:v>
                </c:pt>
                <c:pt idx="61">
                  <c:v>13.960679636255215</c:v>
                </c:pt>
                <c:pt idx="62">
                  <c:v>13.966318723911744</c:v>
                </c:pt>
                <c:pt idx="63">
                  <c:v>13.971957811568274</c:v>
                </c:pt>
                <c:pt idx="64">
                  <c:v>13.977596899224803</c:v>
                </c:pt>
                <c:pt idx="65">
                  <c:v>13.983235986881333</c:v>
                </c:pt>
                <c:pt idx="66">
                  <c:v>13.988875074537862</c:v>
                </c:pt>
                <c:pt idx="67">
                  <c:v>13.994514162194392</c:v>
                </c:pt>
                <c:pt idx="68">
                  <c:v>14.000153249850921</c:v>
                </c:pt>
                <c:pt idx="69">
                  <c:v>14.005792337507451</c:v>
                </c:pt>
                <c:pt idx="70">
                  <c:v>14.01143142516398</c:v>
                </c:pt>
                <c:pt idx="71">
                  <c:v>14.01707051282051</c:v>
                </c:pt>
                <c:pt idx="72">
                  <c:v>14.02270960047704</c:v>
                </c:pt>
                <c:pt idx="73">
                  <c:v>14.028348688133569</c:v>
                </c:pt>
                <c:pt idx="74">
                  <c:v>14.033987775790099</c:v>
                </c:pt>
                <c:pt idx="75">
                  <c:v>14.039626863446628</c:v>
                </c:pt>
                <c:pt idx="76">
                  <c:v>14.045265951103158</c:v>
                </c:pt>
                <c:pt idx="77">
                  <c:v>14.050905038759687</c:v>
                </c:pt>
                <c:pt idx="78">
                  <c:v>14.056544126416217</c:v>
                </c:pt>
                <c:pt idx="79">
                  <c:v>14.062183214072746</c:v>
                </c:pt>
                <c:pt idx="80">
                  <c:v>14.067822301729276</c:v>
                </c:pt>
                <c:pt idx="81">
                  <c:v>14.073461389385805</c:v>
                </c:pt>
                <c:pt idx="82">
                  <c:v>14.079100477042335</c:v>
                </c:pt>
                <c:pt idx="83">
                  <c:v>14.084739564698864</c:v>
                </c:pt>
                <c:pt idx="84">
                  <c:v>14.090378652355394</c:v>
                </c:pt>
                <c:pt idx="85">
                  <c:v>14.096017740011924</c:v>
                </c:pt>
                <c:pt idx="86">
                  <c:v>14.101656827668453</c:v>
                </c:pt>
                <c:pt idx="87">
                  <c:v>14.107295915324983</c:v>
                </c:pt>
                <c:pt idx="88">
                  <c:v>14.112935002981512</c:v>
                </c:pt>
                <c:pt idx="89">
                  <c:v>14.118574090638042</c:v>
                </c:pt>
                <c:pt idx="90">
                  <c:v>14.124213178294571</c:v>
                </c:pt>
                <c:pt idx="91">
                  <c:v>14.129852265951101</c:v>
                </c:pt>
                <c:pt idx="92">
                  <c:v>14.13549135360763</c:v>
                </c:pt>
                <c:pt idx="93">
                  <c:v>14.14113044126416</c:v>
                </c:pt>
                <c:pt idx="94">
                  <c:v>14.146769528920689</c:v>
                </c:pt>
                <c:pt idx="95">
                  <c:v>14.152408616577219</c:v>
                </c:pt>
                <c:pt idx="96">
                  <c:v>14.158047704233748</c:v>
                </c:pt>
                <c:pt idx="97">
                  <c:v>14.163686791890278</c:v>
                </c:pt>
                <c:pt idx="98">
                  <c:v>14.169325879546808</c:v>
                </c:pt>
                <c:pt idx="99">
                  <c:v>14.174964967203337</c:v>
                </c:pt>
                <c:pt idx="100">
                  <c:v>14.180604054859867</c:v>
                </c:pt>
                <c:pt idx="101">
                  <c:v>14.186243142516396</c:v>
                </c:pt>
                <c:pt idx="102">
                  <c:v>14.191882230172926</c:v>
                </c:pt>
                <c:pt idx="103">
                  <c:v>14.197521317829455</c:v>
                </c:pt>
                <c:pt idx="104">
                  <c:v>14.203160405485985</c:v>
                </c:pt>
                <c:pt idx="105">
                  <c:v>14.208799493142514</c:v>
                </c:pt>
                <c:pt idx="106">
                  <c:v>14.214438580799044</c:v>
                </c:pt>
                <c:pt idx="107">
                  <c:v>14.220077668455573</c:v>
                </c:pt>
                <c:pt idx="108">
                  <c:v>14.225716756112103</c:v>
                </c:pt>
                <c:pt idx="109">
                  <c:v>14.231355843768632</c:v>
                </c:pt>
                <c:pt idx="110">
                  <c:v>14.236994931425162</c:v>
                </c:pt>
                <c:pt idx="111">
                  <c:v>14.242634019081692</c:v>
                </c:pt>
                <c:pt idx="112">
                  <c:v>14.248273106738221</c:v>
                </c:pt>
                <c:pt idx="113">
                  <c:v>14.253912194394751</c:v>
                </c:pt>
                <c:pt idx="114">
                  <c:v>14.25955128205128</c:v>
                </c:pt>
                <c:pt idx="115">
                  <c:v>14.26519036970781</c:v>
                </c:pt>
                <c:pt idx="116">
                  <c:v>14.270829457364339</c:v>
                </c:pt>
                <c:pt idx="117">
                  <c:v>14.276468545020869</c:v>
                </c:pt>
                <c:pt idx="118">
                  <c:v>14.282107632677398</c:v>
                </c:pt>
                <c:pt idx="119">
                  <c:v>14.287746720333928</c:v>
                </c:pt>
                <c:pt idx="120">
                  <c:v>14.293385807990457</c:v>
                </c:pt>
                <c:pt idx="121">
                  <c:v>14.299024895646987</c:v>
                </c:pt>
                <c:pt idx="122">
                  <c:v>14.304663983303517</c:v>
                </c:pt>
                <c:pt idx="123">
                  <c:v>14.310303070960046</c:v>
                </c:pt>
                <c:pt idx="124">
                  <c:v>14.315942158616576</c:v>
                </c:pt>
                <c:pt idx="125">
                  <c:v>14.321581246273105</c:v>
                </c:pt>
                <c:pt idx="126">
                  <c:v>14.327220333929635</c:v>
                </c:pt>
                <c:pt idx="127">
                  <c:v>14.332859421586164</c:v>
                </c:pt>
                <c:pt idx="128">
                  <c:v>14.338498509242692</c:v>
                </c:pt>
                <c:pt idx="129">
                  <c:v>14.344137596899222</c:v>
                </c:pt>
                <c:pt idx="130">
                  <c:v>14.349776684555751</c:v>
                </c:pt>
                <c:pt idx="131">
                  <c:v>14.355415772212281</c:v>
                </c:pt>
                <c:pt idx="132">
                  <c:v>14.36105485986881</c:v>
                </c:pt>
                <c:pt idx="133">
                  <c:v>14.36669394752534</c:v>
                </c:pt>
                <c:pt idx="134">
                  <c:v>14.372333035181869</c:v>
                </c:pt>
                <c:pt idx="135">
                  <c:v>14.377972122838399</c:v>
                </c:pt>
                <c:pt idx="136">
                  <c:v>14.383611210494928</c:v>
                </c:pt>
                <c:pt idx="137">
                  <c:v>14.389250298151458</c:v>
                </c:pt>
                <c:pt idx="138">
                  <c:v>14.394889385807987</c:v>
                </c:pt>
                <c:pt idx="139">
                  <c:v>14.400528473464517</c:v>
                </c:pt>
                <c:pt idx="140">
                  <c:v>14.406167561121046</c:v>
                </c:pt>
                <c:pt idx="141">
                  <c:v>14.411806648777576</c:v>
                </c:pt>
                <c:pt idx="142">
                  <c:v>14.417445736434106</c:v>
                </c:pt>
                <c:pt idx="143">
                  <c:v>14.423084824090635</c:v>
                </c:pt>
              </c:numCache>
            </c:numRef>
          </c:yVal>
          <c:smooth val="1"/>
          <c:extLst>
            <c:ext xmlns:c16="http://schemas.microsoft.com/office/drawing/2014/chart" uri="{C3380CC4-5D6E-409C-BE32-E72D297353CC}">
              <c16:uniqueId val="{00000003-4225-124D-AD89-079134EA22C4}"/>
            </c:ext>
          </c:extLst>
        </c:ser>
        <c:dLbls>
          <c:showLegendKey val="0"/>
          <c:showVal val="0"/>
          <c:showCatName val="0"/>
          <c:showSerName val="0"/>
          <c:showPercent val="0"/>
          <c:showBubbleSize val="0"/>
        </c:dLbls>
        <c:axId val="949547840"/>
        <c:axId val="949549904"/>
      </c:scatterChart>
      <c:valAx>
        <c:axId val="94954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549904"/>
        <c:crosses val="autoZero"/>
        <c:crossBetween val="midCat"/>
      </c:valAx>
      <c:valAx>
        <c:axId val="94954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5478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Task2!$I$1</c:f>
              <c:strCache>
                <c:ptCount val="1"/>
                <c:pt idx="0">
                  <c:v>Tsynth1</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7.7343964660875446E-3"/>
                  <c:y val="-0.611453235847956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Task2!$I$2:$I$11</c:f>
              <c:numCache>
                <c:formatCode>General</c:formatCode>
                <c:ptCount val="10"/>
                <c:pt idx="0">
                  <c:v>13.616695289206914</c:v>
                </c:pt>
                <c:pt idx="1">
                  <c:v>13.598078615007509</c:v>
                </c:pt>
                <c:pt idx="2">
                  <c:v>13.545011339454572</c:v>
                </c:pt>
                <c:pt idx="3">
                  <c:v>13.446400088838761</c:v>
                </c:pt>
                <c:pt idx="4">
                  <c:v>13.567502965265916</c:v>
                </c:pt>
                <c:pt idx="5">
                  <c:v>13.64042695310351</c:v>
                </c:pt>
                <c:pt idx="6">
                  <c:v>13.545281988695223</c:v>
                </c:pt>
                <c:pt idx="7">
                  <c:v>13.552762609496368</c:v>
                </c:pt>
                <c:pt idx="8">
                  <c:v>13.588587043489294</c:v>
                </c:pt>
                <c:pt idx="9">
                  <c:v>13.480861813076155</c:v>
                </c:pt>
              </c:numCache>
            </c:numRef>
          </c:yVal>
          <c:smooth val="1"/>
          <c:extLst>
            <c:ext xmlns:c16="http://schemas.microsoft.com/office/drawing/2014/chart" uri="{C3380CC4-5D6E-409C-BE32-E72D297353CC}">
              <c16:uniqueId val="{00000000-B028-9E4D-91F0-1C1FE8592A44}"/>
            </c:ext>
          </c:extLst>
        </c:ser>
        <c:dLbls>
          <c:showLegendKey val="0"/>
          <c:showVal val="0"/>
          <c:showCatName val="0"/>
          <c:showSerName val="0"/>
          <c:showPercent val="0"/>
          <c:showBubbleSize val="0"/>
        </c:dLbls>
        <c:axId val="854714256"/>
        <c:axId val="854667632"/>
      </c:scatterChart>
      <c:valAx>
        <c:axId val="854714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67632"/>
        <c:crosses val="autoZero"/>
        <c:crossBetween val="midCat"/>
      </c:valAx>
      <c:valAx>
        <c:axId val="85466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14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50345581802274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Task2!$K$1</c:f>
              <c:strCache>
                <c:ptCount val="1"/>
                <c:pt idx="0">
                  <c:v>Tsynth2</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8.7856517935258095E-3"/>
                  <c:y val="-0.532041776027996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Task2!$K$2:$K$11</c:f>
              <c:numCache>
                <c:formatCode>General</c:formatCode>
                <c:ptCount val="10"/>
                <c:pt idx="0">
                  <c:v>13.616695289206914</c:v>
                </c:pt>
                <c:pt idx="1">
                  <c:v>13.707982418161267</c:v>
                </c:pt>
                <c:pt idx="2">
                  <c:v>13.593541760957638</c:v>
                </c:pt>
                <c:pt idx="3">
                  <c:v>13.624468164004208</c:v>
                </c:pt>
                <c:pt idx="4">
                  <c:v>13.479904789829616</c:v>
                </c:pt>
                <c:pt idx="5">
                  <c:v>13.495206869039841</c:v>
                </c:pt>
                <c:pt idx="6">
                  <c:v>13.533975637803977</c:v>
                </c:pt>
                <c:pt idx="7">
                  <c:v>13.461746676057277</c:v>
                </c:pt>
                <c:pt idx="8">
                  <c:v>13.580984349542135</c:v>
                </c:pt>
                <c:pt idx="9">
                  <c:v>13.563113394962309</c:v>
                </c:pt>
              </c:numCache>
            </c:numRef>
          </c:yVal>
          <c:smooth val="1"/>
          <c:extLst>
            <c:ext xmlns:c16="http://schemas.microsoft.com/office/drawing/2014/chart" uri="{C3380CC4-5D6E-409C-BE32-E72D297353CC}">
              <c16:uniqueId val="{00000000-915D-5A4E-9567-77065054DC0F}"/>
            </c:ext>
          </c:extLst>
        </c:ser>
        <c:dLbls>
          <c:showLegendKey val="0"/>
          <c:showVal val="0"/>
          <c:showCatName val="0"/>
          <c:showSerName val="0"/>
          <c:showPercent val="0"/>
          <c:showBubbleSize val="0"/>
        </c:dLbls>
        <c:axId val="855560896"/>
        <c:axId val="855041648"/>
      </c:scatterChart>
      <c:valAx>
        <c:axId val="85556089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41648"/>
        <c:crosses val="autoZero"/>
        <c:crossBetween val="midCat"/>
      </c:valAx>
      <c:valAx>
        <c:axId val="85504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Tsynth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560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Tsynth3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3.8939555441703556E-2"/>
                  <c:y val="-0.26987184748927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Task2!$M$2:$M$11</c:f>
              <c:numCache>
                <c:formatCode>General</c:formatCode>
                <c:ptCount val="10"/>
                <c:pt idx="0">
                  <c:v>13.616695289206914</c:v>
                </c:pt>
                <c:pt idx="1">
                  <c:v>13.600825115989755</c:v>
                </c:pt>
                <c:pt idx="2">
                  <c:v>13.572963262443114</c:v>
                </c:pt>
                <c:pt idx="3">
                  <c:v>13.503056769812574</c:v>
                </c:pt>
                <c:pt idx="4">
                  <c:v>13.719569972010424</c:v>
                </c:pt>
                <c:pt idx="5">
                  <c:v>13.700858259001631</c:v>
                </c:pt>
                <c:pt idx="6">
                  <c:v>13.681559769165348</c:v>
                </c:pt>
                <c:pt idx="7">
                  <c:v>13.705070540092407</c:v>
                </c:pt>
                <c:pt idx="8">
                  <c:v>13.666500305693354</c:v>
                </c:pt>
                <c:pt idx="9">
                  <c:v>13.845664732413955</c:v>
                </c:pt>
              </c:numCache>
            </c:numRef>
          </c:yVal>
          <c:smooth val="1"/>
          <c:extLst>
            <c:ext xmlns:c16="http://schemas.microsoft.com/office/drawing/2014/chart" uri="{C3380CC4-5D6E-409C-BE32-E72D297353CC}">
              <c16:uniqueId val="{00000000-0EA7-044C-B103-1B2138C39DB5}"/>
            </c:ext>
          </c:extLst>
        </c:ser>
        <c:dLbls>
          <c:showLegendKey val="0"/>
          <c:showVal val="0"/>
          <c:showCatName val="0"/>
          <c:showSerName val="0"/>
          <c:showPercent val="0"/>
          <c:showBubbleSize val="0"/>
        </c:dLbls>
        <c:axId val="930103424"/>
        <c:axId val="930375424"/>
      </c:scatterChart>
      <c:valAx>
        <c:axId val="930103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75424"/>
        <c:crosses val="autoZero"/>
        <c:crossBetween val="midCat"/>
      </c:valAx>
      <c:valAx>
        <c:axId val="9303754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034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Tsynth4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4.8900470494210306E-2"/>
                  <c:y val="-0.559153382601845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Task2!$O$2:$O$11</c:f>
              <c:numCache>
                <c:formatCode>General</c:formatCode>
                <c:ptCount val="10"/>
                <c:pt idx="0">
                  <c:v>13.616695289206914</c:v>
                </c:pt>
                <c:pt idx="1">
                  <c:v>13.792908626310718</c:v>
                </c:pt>
                <c:pt idx="2">
                  <c:v>13.650812232346446</c:v>
                </c:pt>
                <c:pt idx="3">
                  <c:v>13.635669677702404</c:v>
                </c:pt>
                <c:pt idx="4">
                  <c:v>13.509126556127285</c:v>
                </c:pt>
                <c:pt idx="5">
                  <c:v>13.518708050835542</c:v>
                </c:pt>
                <c:pt idx="6">
                  <c:v>13.60443412307742</c:v>
                </c:pt>
                <c:pt idx="7">
                  <c:v>13.620770549004593</c:v>
                </c:pt>
                <c:pt idx="8">
                  <c:v>13.640901854515981</c:v>
                </c:pt>
                <c:pt idx="9">
                  <c:v>13.582732240834439</c:v>
                </c:pt>
              </c:numCache>
            </c:numRef>
          </c:yVal>
          <c:smooth val="1"/>
          <c:extLst>
            <c:ext xmlns:c16="http://schemas.microsoft.com/office/drawing/2014/chart" uri="{C3380CC4-5D6E-409C-BE32-E72D297353CC}">
              <c16:uniqueId val="{00000000-8085-0747-A11F-A1311BA3916A}"/>
            </c:ext>
          </c:extLst>
        </c:ser>
        <c:dLbls>
          <c:showLegendKey val="0"/>
          <c:showVal val="0"/>
          <c:showCatName val="0"/>
          <c:showSerName val="0"/>
          <c:showPercent val="0"/>
          <c:showBubbleSize val="0"/>
        </c:dLbls>
        <c:axId val="339395008"/>
        <c:axId val="339396720"/>
      </c:scatterChart>
      <c:valAx>
        <c:axId val="339395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96720"/>
        <c:crosses val="autoZero"/>
        <c:crossBetween val="midCat"/>
      </c:valAx>
      <c:valAx>
        <c:axId val="33939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Tsynth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95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Tsynth5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1.3436127105806165E-2"/>
                  <c:y val="-0.486670321762670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Task2!$Q$2:$Q$11</c:f>
              <c:numCache>
                <c:formatCode>General</c:formatCode>
                <c:ptCount val="10"/>
                <c:pt idx="0">
                  <c:v>13.616695289206914</c:v>
                </c:pt>
                <c:pt idx="1">
                  <c:v>13.595526843160567</c:v>
                </c:pt>
                <c:pt idx="2">
                  <c:v>13.653365630027166</c:v>
                </c:pt>
                <c:pt idx="3">
                  <c:v>13.529242959951022</c:v>
                </c:pt>
                <c:pt idx="4">
                  <c:v>13.659927787785895</c:v>
                </c:pt>
                <c:pt idx="5">
                  <c:v>13.573721429697862</c:v>
                </c:pt>
                <c:pt idx="6">
                  <c:v>13.551058303090649</c:v>
                </c:pt>
                <c:pt idx="7">
                  <c:v>13.722933088873972</c:v>
                </c:pt>
                <c:pt idx="8">
                  <c:v>13.790240561078697</c:v>
                </c:pt>
                <c:pt idx="9">
                  <c:v>13.667031187031336</c:v>
                </c:pt>
              </c:numCache>
            </c:numRef>
          </c:yVal>
          <c:smooth val="1"/>
          <c:extLst>
            <c:ext xmlns:c16="http://schemas.microsoft.com/office/drawing/2014/chart" uri="{C3380CC4-5D6E-409C-BE32-E72D297353CC}">
              <c16:uniqueId val="{00000000-EBBD-9B4E-861C-740D03B948C8}"/>
            </c:ext>
          </c:extLst>
        </c:ser>
        <c:dLbls>
          <c:showLegendKey val="0"/>
          <c:showVal val="0"/>
          <c:showCatName val="0"/>
          <c:showSerName val="0"/>
          <c:showPercent val="0"/>
          <c:showBubbleSize val="0"/>
        </c:dLbls>
        <c:axId val="630002896"/>
        <c:axId val="629163008"/>
      </c:scatterChart>
      <c:valAx>
        <c:axId val="630002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63008"/>
        <c:crosses val="autoZero"/>
        <c:crossBetween val="midCat"/>
      </c:valAx>
      <c:valAx>
        <c:axId val="62916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Tsynth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02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Task2!$J$1</c:f>
              <c:strCache>
                <c:ptCount val="1"/>
                <c:pt idx="0">
                  <c:v>TsynthDBL1</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2.7900699912510936E-2"/>
                  <c:y val="-0.461210611475719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Task2!$J$2:$J$11</c:f>
              <c:numCache>
                <c:formatCode>General</c:formatCode>
                <c:ptCount val="10"/>
                <c:pt idx="0">
                  <c:v>13.616695289206914</c:v>
                </c:pt>
                <c:pt idx="1">
                  <c:v>13.482627341001271</c:v>
                </c:pt>
                <c:pt idx="2">
                  <c:v>13.65366737053176</c:v>
                </c:pt>
                <c:pt idx="3">
                  <c:v>13.435746253173683</c:v>
                </c:pt>
                <c:pt idx="4">
                  <c:v>13.372924719152923</c:v>
                </c:pt>
                <c:pt idx="5">
                  <c:v>13.520856068628115</c:v>
                </c:pt>
                <c:pt idx="6">
                  <c:v>13.533387005518923</c:v>
                </c:pt>
                <c:pt idx="7">
                  <c:v>13.706570253785868</c:v>
                </c:pt>
                <c:pt idx="8">
                  <c:v>13.524535493649912</c:v>
                </c:pt>
                <c:pt idx="9">
                  <c:v>13.465754314689102</c:v>
                </c:pt>
              </c:numCache>
            </c:numRef>
          </c:yVal>
          <c:smooth val="1"/>
          <c:extLst>
            <c:ext xmlns:c16="http://schemas.microsoft.com/office/drawing/2014/chart" uri="{C3380CC4-5D6E-409C-BE32-E72D297353CC}">
              <c16:uniqueId val="{00000000-799F-3143-8D40-79792DC2A33F}"/>
            </c:ext>
          </c:extLst>
        </c:ser>
        <c:dLbls>
          <c:showLegendKey val="0"/>
          <c:showVal val="0"/>
          <c:showCatName val="0"/>
          <c:showSerName val="0"/>
          <c:showPercent val="0"/>
          <c:showBubbleSize val="0"/>
        </c:dLbls>
        <c:axId val="339215520"/>
        <c:axId val="339507248"/>
      </c:scatterChart>
      <c:valAx>
        <c:axId val="339215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07248"/>
        <c:crosses val="autoZero"/>
        <c:crossBetween val="midCat"/>
      </c:valAx>
      <c:valAx>
        <c:axId val="33950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155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TsynthDBL2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6.058748687292996E-2"/>
                  <c:y val="-0.301780766987459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Task2!$L$2:$L$11</c:f>
              <c:numCache>
                <c:formatCode>General</c:formatCode>
                <c:ptCount val="10"/>
                <c:pt idx="0">
                  <c:v>13.616695289206914</c:v>
                </c:pt>
                <c:pt idx="1">
                  <c:v>13.670145556209222</c:v>
                </c:pt>
                <c:pt idx="2">
                  <c:v>13.748840870839551</c:v>
                </c:pt>
                <c:pt idx="3">
                  <c:v>13.824914924919696</c:v>
                </c:pt>
                <c:pt idx="4">
                  <c:v>13.734602873933289</c:v>
                </c:pt>
                <c:pt idx="5">
                  <c:v>14.000645198541243</c:v>
                </c:pt>
                <c:pt idx="6">
                  <c:v>13.976635999150727</c:v>
                </c:pt>
                <c:pt idx="7">
                  <c:v>14.297273042075988</c:v>
                </c:pt>
                <c:pt idx="8">
                  <c:v>13.952544950792984</c:v>
                </c:pt>
                <c:pt idx="9">
                  <c:v>13.827410292293921</c:v>
                </c:pt>
              </c:numCache>
            </c:numRef>
          </c:yVal>
          <c:smooth val="1"/>
          <c:extLst>
            <c:ext xmlns:c16="http://schemas.microsoft.com/office/drawing/2014/chart" uri="{C3380CC4-5D6E-409C-BE32-E72D297353CC}">
              <c16:uniqueId val="{00000000-23F3-4E85-8157-1518286157E5}"/>
            </c:ext>
          </c:extLst>
        </c:ser>
        <c:dLbls>
          <c:showLegendKey val="0"/>
          <c:showVal val="0"/>
          <c:showCatName val="0"/>
          <c:showSerName val="0"/>
          <c:showPercent val="0"/>
          <c:showBubbleSize val="0"/>
        </c:dLbls>
        <c:axId val="92122319"/>
        <c:axId val="92122799"/>
      </c:scatterChart>
      <c:valAx>
        <c:axId val="92122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799"/>
        <c:crosses val="autoZero"/>
        <c:crossBetween val="midCat"/>
      </c:valAx>
      <c:valAx>
        <c:axId val="921227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3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6.6511116357442172E-4"/>
                  <c:y val="-0.385384222805482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Task2!$N$2:$N$11</c:f>
              <c:numCache>
                <c:formatCode>General</c:formatCode>
                <c:ptCount val="10"/>
                <c:pt idx="0">
                  <c:v>13.616695289206914</c:v>
                </c:pt>
                <c:pt idx="1">
                  <c:v>13.877624207608612</c:v>
                </c:pt>
                <c:pt idx="2">
                  <c:v>13.84624569312529</c:v>
                </c:pt>
                <c:pt idx="3">
                  <c:v>13.803625547268281</c:v>
                </c:pt>
                <c:pt idx="4">
                  <c:v>13.793522216082474</c:v>
                </c:pt>
                <c:pt idx="5">
                  <c:v>14.17589770898863</c:v>
                </c:pt>
                <c:pt idx="6">
                  <c:v>13.784322237327014</c:v>
                </c:pt>
                <c:pt idx="7">
                  <c:v>13.863399578153327</c:v>
                </c:pt>
                <c:pt idx="8">
                  <c:v>13.866261003258515</c:v>
                </c:pt>
                <c:pt idx="9">
                  <c:v>13.846303330402511</c:v>
                </c:pt>
              </c:numCache>
            </c:numRef>
          </c:yVal>
          <c:smooth val="1"/>
          <c:extLst>
            <c:ext xmlns:c16="http://schemas.microsoft.com/office/drawing/2014/chart" uri="{C3380CC4-5D6E-409C-BE32-E72D297353CC}">
              <c16:uniqueId val="{00000000-DC84-4775-B5B2-338A8DAFF93A}"/>
            </c:ext>
          </c:extLst>
        </c:ser>
        <c:dLbls>
          <c:showLegendKey val="0"/>
          <c:showVal val="0"/>
          <c:showCatName val="0"/>
          <c:showSerName val="0"/>
          <c:showPercent val="0"/>
          <c:showBubbleSize val="0"/>
        </c:dLbls>
        <c:axId val="120554047"/>
        <c:axId val="120560287"/>
      </c:scatterChart>
      <c:valAx>
        <c:axId val="12055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0287"/>
        <c:crosses val="autoZero"/>
        <c:crossBetween val="midCat"/>
      </c:valAx>
      <c:valAx>
        <c:axId val="1205602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9.6230063287741068E-3"/>
                  <c:y val="-0.346781860600758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Task2!$P$2:$P$11</c:f>
              <c:numCache>
                <c:formatCode>General</c:formatCode>
                <c:ptCount val="10"/>
                <c:pt idx="0">
                  <c:v>13.616695289206914</c:v>
                </c:pt>
                <c:pt idx="1">
                  <c:v>13.379236245277205</c:v>
                </c:pt>
                <c:pt idx="2">
                  <c:v>13.48408362729694</c:v>
                </c:pt>
                <c:pt idx="3">
                  <c:v>13.418324752467671</c:v>
                </c:pt>
                <c:pt idx="4">
                  <c:v>13.322853220761361</c:v>
                </c:pt>
                <c:pt idx="5">
                  <c:v>13.13887068567842</c:v>
                </c:pt>
                <c:pt idx="6">
                  <c:v>13.839248172305858</c:v>
                </c:pt>
                <c:pt idx="7">
                  <c:v>13.568500480913706</c:v>
                </c:pt>
                <c:pt idx="8">
                  <c:v>13.721962607740664</c:v>
                </c:pt>
                <c:pt idx="9">
                  <c:v>13.527238481377937</c:v>
                </c:pt>
              </c:numCache>
            </c:numRef>
          </c:yVal>
          <c:smooth val="1"/>
          <c:extLst>
            <c:ext xmlns:c16="http://schemas.microsoft.com/office/drawing/2014/chart" uri="{C3380CC4-5D6E-409C-BE32-E72D297353CC}">
              <c16:uniqueId val="{00000000-6552-4797-99E7-883ECFB802BF}"/>
            </c:ext>
          </c:extLst>
        </c:ser>
        <c:dLbls>
          <c:showLegendKey val="0"/>
          <c:showVal val="0"/>
          <c:showCatName val="0"/>
          <c:showSerName val="0"/>
          <c:showPercent val="0"/>
          <c:showBubbleSize val="0"/>
        </c:dLbls>
        <c:axId val="184330943"/>
        <c:axId val="184331423"/>
      </c:scatterChart>
      <c:valAx>
        <c:axId val="184330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1423"/>
        <c:crosses val="autoZero"/>
        <c:crossBetween val="midCat"/>
      </c:valAx>
      <c:valAx>
        <c:axId val="1843314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0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4.3395047518826661E-2"/>
                  <c:y val="-0.230582895888014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Task2!$H$2:$H$11</c:f>
              <c:numCache>
                <c:formatCode>General</c:formatCode>
                <c:ptCount val="10"/>
                <c:pt idx="0">
                  <c:v>1880</c:v>
                </c:pt>
                <c:pt idx="1">
                  <c:v>1881</c:v>
                </c:pt>
                <c:pt idx="2">
                  <c:v>1882</c:v>
                </c:pt>
                <c:pt idx="3">
                  <c:v>1883</c:v>
                </c:pt>
                <c:pt idx="4">
                  <c:v>1884</c:v>
                </c:pt>
                <c:pt idx="5">
                  <c:v>1885</c:v>
                </c:pt>
                <c:pt idx="6">
                  <c:v>1886</c:v>
                </c:pt>
                <c:pt idx="7">
                  <c:v>1887</c:v>
                </c:pt>
                <c:pt idx="8">
                  <c:v>1888</c:v>
                </c:pt>
                <c:pt idx="9">
                  <c:v>1889</c:v>
                </c:pt>
              </c:numCache>
            </c:numRef>
          </c:xVal>
          <c:yVal>
            <c:numRef>
              <c:f>Task2!$R$2:$R$11</c:f>
              <c:numCache>
                <c:formatCode>General</c:formatCode>
                <c:ptCount val="10"/>
                <c:pt idx="0">
                  <c:v>13.616695289206914</c:v>
                </c:pt>
                <c:pt idx="1">
                  <c:v>13.320775387971418</c:v>
                </c:pt>
                <c:pt idx="2">
                  <c:v>13.507342890789696</c:v>
                </c:pt>
                <c:pt idx="3">
                  <c:v>13.799561869093061</c:v>
                </c:pt>
                <c:pt idx="4">
                  <c:v>13.837866661077399</c:v>
                </c:pt>
                <c:pt idx="5">
                  <c:v>13.652581481512167</c:v>
                </c:pt>
                <c:pt idx="6">
                  <c:v>13.622679998356615</c:v>
                </c:pt>
                <c:pt idx="7">
                  <c:v>13.672710539010284</c:v>
                </c:pt>
                <c:pt idx="8">
                  <c:v>13.670505773346637</c:v>
                </c:pt>
                <c:pt idx="9">
                  <c:v>13.653585325337604</c:v>
                </c:pt>
              </c:numCache>
            </c:numRef>
          </c:yVal>
          <c:smooth val="1"/>
          <c:extLst>
            <c:ext xmlns:c16="http://schemas.microsoft.com/office/drawing/2014/chart" uri="{C3380CC4-5D6E-409C-BE32-E72D297353CC}">
              <c16:uniqueId val="{00000000-3F6B-4E53-88F3-537EE0182956}"/>
            </c:ext>
          </c:extLst>
        </c:ser>
        <c:dLbls>
          <c:showLegendKey val="0"/>
          <c:showVal val="0"/>
          <c:showCatName val="0"/>
          <c:showSerName val="0"/>
          <c:showPercent val="0"/>
          <c:showBubbleSize val="0"/>
        </c:dLbls>
        <c:axId val="185894719"/>
        <c:axId val="185893279"/>
      </c:scatterChart>
      <c:valAx>
        <c:axId val="1858947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3279"/>
        <c:crosses val="autoZero"/>
        <c:crossBetween val="midCat"/>
      </c:valAx>
      <c:valAx>
        <c:axId val="1858932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47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Task2!$I$55</c:f>
              <c:strCache>
                <c:ptCount val="1"/>
                <c:pt idx="0">
                  <c:v>Tsynth1</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3.2595275980301437E-2"/>
                  <c:y val="-0.219793671624380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Task2!$I$56:$I$105</c:f>
              <c:numCache>
                <c:formatCode>General</c:formatCode>
                <c:ptCount val="50"/>
                <c:pt idx="0">
                  <c:v>13.616695289206914</c:v>
                </c:pt>
                <c:pt idx="1">
                  <c:v>13.578633097386829</c:v>
                </c:pt>
                <c:pt idx="2">
                  <c:v>13.568038369060831</c:v>
                </c:pt>
                <c:pt idx="3">
                  <c:v>13.625786947100332</c:v>
                </c:pt>
                <c:pt idx="4">
                  <c:v>13.581337458653728</c:v>
                </c:pt>
                <c:pt idx="5">
                  <c:v>13.734128930798116</c:v>
                </c:pt>
                <c:pt idx="6">
                  <c:v>13.626875740586636</c:v>
                </c:pt>
                <c:pt idx="7">
                  <c:v>13.827339262613782</c:v>
                </c:pt>
                <c:pt idx="8">
                  <c:v>13.724942032987663</c:v>
                </c:pt>
                <c:pt idx="9">
                  <c:v>13.691099847815067</c:v>
                </c:pt>
                <c:pt idx="10">
                  <c:v>13.831798729714569</c:v>
                </c:pt>
                <c:pt idx="11">
                  <c:v>13.748772575405154</c:v>
                </c:pt>
                <c:pt idx="12">
                  <c:v>13.604964063742479</c:v>
                </c:pt>
                <c:pt idx="13">
                  <c:v>13.459714844599816</c:v>
                </c:pt>
                <c:pt idx="14">
                  <c:v>13.560613884511675</c:v>
                </c:pt>
                <c:pt idx="15">
                  <c:v>13.560388545742496</c:v>
                </c:pt>
                <c:pt idx="16">
                  <c:v>13.671136554723345</c:v>
                </c:pt>
                <c:pt idx="17">
                  <c:v>13.716800442561361</c:v>
                </c:pt>
                <c:pt idx="18">
                  <c:v>13.708120937633312</c:v>
                </c:pt>
                <c:pt idx="19">
                  <c:v>13.810231656441161</c:v>
                </c:pt>
                <c:pt idx="20">
                  <c:v>13.610569125764135</c:v>
                </c:pt>
                <c:pt idx="21">
                  <c:v>13.723577822489958</c:v>
                </c:pt>
                <c:pt idx="22">
                  <c:v>13.787841366420487</c:v>
                </c:pt>
                <c:pt idx="23">
                  <c:v>13.670825862399072</c:v>
                </c:pt>
                <c:pt idx="24">
                  <c:v>13.824819344798925</c:v>
                </c:pt>
                <c:pt idx="25">
                  <c:v>13.917688606740171</c:v>
                </c:pt>
                <c:pt idx="26">
                  <c:v>13.961643653204145</c:v>
                </c:pt>
                <c:pt idx="27">
                  <c:v>14.062439155538799</c:v>
                </c:pt>
                <c:pt idx="28">
                  <c:v>13.688897392170581</c:v>
                </c:pt>
                <c:pt idx="29">
                  <c:v>13.78944959353097</c:v>
                </c:pt>
                <c:pt idx="30">
                  <c:v>13.845242974686956</c:v>
                </c:pt>
                <c:pt idx="31">
                  <c:v>13.595266323585806</c:v>
                </c:pt>
                <c:pt idx="32">
                  <c:v>13.80051567636368</c:v>
                </c:pt>
                <c:pt idx="33">
                  <c:v>13.820238283026976</c:v>
                </c:pt>
                <c:pt idx="34">
                  <c:v>13.783621403407277</c:v>
                </c:pt>
                <c:pt idx="35">
                  <c:v>13.954430093724019</c:v>
                </c:pt>
                <c:pt idx="36">
                  <c:v>13.977797300322125</c:v>
                </c:pt>
                <c:pt idx="37">
                  <c:v>13.788327879562747</c:v>
                </c:pt>
                <c:pt idx="38">
                  <c:v>13.819624629745567</c:v>
                </c:pt>
                <c:pt idx="39">
                  <c:v>13.887288682401428</c:v>
                </c:pt>
                <c:pt idx="40">
                  <c:v>13.97181745347357</c:v>
                </c:pt>
                <c:pt idx="41">
                  <c:v>13.809279920872454</c:v>
                </c:pt>
                <c:pt idx="42">
                  <c:v>13.818830309751988</c:v>
                </c:pt>
                <c:pt idx="43">
                  <c:v>13.992316633930637</c:v>
                </c:pt>
                <c:pt idx="44">
                  <c:v>13.962159045763707</c:v>
                </c:pt>
                <c:pt idx="45">
                  <c:v>13.922661816363316</c:v>
                </c:pt>
                <c:pt idx="46">
                  <c:v>13.847011508397426</c:v>
                </c:pt>
                <c:pt idx="47">
                  <c:v>13.920981537326757</c:v>
                </c:pt>
                <c:pt idx="48">
                  <c:v>13.970502409544013</c:v>
                </c:pt>
                <c:pt idx="49">
                  <c:v>13.952125684827024</c:v>
                </c:pt>
              </c:numCache>
            </c:numRef>
          </c:yVal>
          <c:smooth val="1"/>
          <c:extLst>
            <c:ext xmlns:c16="http://schemas.microsoft.com/office/drawing/2014/chart" uri="{C3380CC4-5D6E-409C-BE32-E72D297353CC}">
              <c16:uniqueId val="{00000000-4950-436A-B1F7-B276AE232ACE}"/>
            </c:ext>
          </c:extLst>
        </c:ser>
        <c:dLbls>
          <c:showLegendKey val="0"/>
          <c:showVal val="0"/>
          <c:showCatName val="0"/>
          <c:showSerName val="0"/>
          <c:showPercent val="0"/>
          <c:showBubbleSize val="0"/>
        </c:dLbls>
        <c:axId val="159613503"/>
        <c:axId val="159614463"/>
      </c:scatterChart>
      <c:valAx>
        <c:axId val="159613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4463"/>
        <c:crosses val="autoZero"/>
        <c:crossBetween val="midCat"/>
      </c:valAx>
      <c:valAx>
        <c:axId val="15961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35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Task2!$J$55</c:f>
              <c:strCache>
                <c:ptCount val="1"/>
                <c:pt idx="0">
                  <c:v>TsynthDBL1</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6.6088855461633345E-2"/>
                  <c:y val="-0.304040901137357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Task2!$J$56:$J$105</c:f>
              <c:numCache>
                <c:formatCode>General</c:formatCode>
                <c:ptCount val="50"/>
                <c:pt idx="0">
                  <c:v>13.616695289206914</c:v>
                </c:pt>
                <c:pt idx="1">
                  <c:v>13.809484502880535</c:v>
                </c:pt>
                <c:pt idx="2">
                  <c:v>14.008036792048721</c:v>
                </c:pt>
                <c:pt idx="3">
                  <c:v>13.921533500048964</c:v>
                </c:pt>
                <c:pt idx="4">
                  <c:v>13.710935685632524</c:v>
                </c:pt>
                <c:pt idx="5">
                  <c:v>13.789047893186323</c:v>
                </c:pt>
                <c:pt idx="6">
                  <c:v>13.717202961217653</c:v>
                </c:pt>
                <c:pt idx="7">
                  <c:v>13.544684471448255</c:v>
                </c:pt>
                <c:pt idx="8">
                  <c:v>13.687183829664805</c:v>
                </c:pt>
                <c:pt idx="9">
                  <c:v>13.745836404043194</c:v>
                </c:pt>
                <c:pt idx="10">
                  <c:v>13.674486494657645</c:v>
                </c:pt>
                <c:pt idx="11">
                  <c:v>13.355443660807516</c:v>
                </c:pt>
                <c:pt idx="12">
                  <c:v>13.78558327719875</c:v>
                </c:pt>
                <c:pt idx="13">
                  <c:v>13.677345014713934</c:v>
                </c:pt>
                <c:pt idx="14">
                  <c:v>13.630585635651936</c:v>
                </c:pt>
                <c:pt idx="15">
                  <c:v>13.311913584780751</c:v>
                </c:pt>
                <c:pt idx="16">
                  <c:v>13.471072974272683</c:v>
                </c:pt>
                <c:pt idx="17">
                  <c:v>13.840508459624459</c:v>
                </c:pt>
                <c:pt idx="18">
                  <c:v>14.072739325788879</c:v>
                </c:pt>
                <c:pt idx="19">
                  <c:v>13.909209805303536</c:v>
                </c:pt>
                <c:pt idx="20">
                  <c:v>13.506475302282636</c:v>
                </c:pt>
                <c:pt idx="21">
                  <c:v>13.403538034124162</c:v>
                </c:pt>
                <c:pt idx="22">
                  <c:v>13.268883478802888</c:v>
                </c:pt>
                <c:pt idx="23">
                  <c:v>13.345334460562441</c:v>
                </c:pt>
                <c:pt idx="24">
                  <c:v>13.667880172651527</c:v>
                </c:pt>
                <c:pt idx="25">
                  <c:v>13.686545454449915</c:v>
                </c:pt>
                <c:pt idx="26">
                  <c:v>13.742371034293315</c:v>
                </c:pt>
                <c:pt idx="27">
                  <c:v>13.706798902150728</c:v>
                </c:pt>
                <c:pt idx="28">
                  <c:v>13.620133865015182</c:v>
                </c:pt>
                <c:pt idx="29">
                  <c:v>13.733854412469521</c:v>
                </c:pt>
                <c:pt idx="30">
                  <c:v>13.935745350441087</c:v>
                </c:pt>
                <c:pt idx="31">
                  <c:v>14.32187040454011</c:v>
                </c:pt>
                <c:pt idx="32">
                  <c:v>14.244712349195098</c:v>
                </c:pt>
                <c:pt idx="33">
                  <c:v>14.061912662131697</c:v>
                </c:pt>
                <c:pt idx="34">
                  <c:v>13.698315541495086</c:v>
                </c:pt>
                <c:pt idx="35">
                  <c:v>13.860567803633742</c:v>
                </c:pt>
                <c:pt idx="36">
                  <c:v>13.854265512994557</c:v>
                </c:pt>
                <c:pt idx="37">
                  <c:v>14.268600293519061</c:v>
                </c:pt>
                <c:pt idx="38">
                  <c:v>14.34608812623962</c:v>
                </c:pt>
                <c:pt idx="39">
                  <c:v>14.505689250278747</c:v>
                </c:pt>
                <c:pt idx="40">
                  <c:v>14.17452108694364</c:v>
                </c:pt>
                <c:pt idx="41">
                  <c:v>13.884377978183085</c:v>
                </c:pt>
                <c:pt idx="42">
                  <c:v>14.090435767612323</c:v>
                </c:pt>
                <c:pt idx="43">
                  <c:v>14.290575245720586</c:v>
                </c:pt>
                <c:pt idx="44">
                  <c:v>14.02721216702051</c:v>
                </c:pt>
                <c:pt idx="45">
                  <c:v>13.827697070093295</c:v>
                </c:pt>
                <c:pt idx="46">
                  <c:v>14.038502792511702</c:v>
                </c:pt>
                <c:pt idx="47">
                  <c:v>13.792149606455919</c:v>
                </c:pt>
                <c:pt idx="48">
                  <c:v>13.818908137765053</c:v>
                </c:pt>
                <c:pt idx="49">
                  <c:v>13.920264015024662</c:v>
                </c:pt>
              </c:numCache>
            </c:numRef>
          </c:yVal>
          <c:smooth val="1"/>
          <c:extLst>
            <c:ext xmlns:c16="http://schemas.microsoft.com/office/drawing/2014/chart" uri="{C3380CC4-5D6E-409C-BE32-E72D297353CC}">
              <c16:uniqueId val="{00000000-253A-47D9-9A5F-0B8F13B93FD1}"/>
            </c:ext>
          </c:extLst>
        </c:ser>
        <c:dLbls>
          <c:showLegendKey val="0"/>
          <c:showVal val="0"/>
          <c:showCatName val="0"/>
          <c:showSerName val="0"/>
          <c:showPercent val="0"/>
          <c:showBubbleSize val="0"/>
        </c:dLbls>
        <c:axId val="120608911"/>
        <c:axId val="120609391"/>
      </c:scatterChart>
      <c:valAx>
        <c:axId val="1206089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9391"/>
        <c:crosses val="autoZero"/>
        <c:crossBetween val="midCat"/>
      </c:valAx>
      <c:valAx>
        <c:axId val="120609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89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Task2!$K$55</c:f>
              <c:strCache>
                <c:ptCount val="1"/>
                <c:pt idx="0">
                  <c:v>Tsynth2</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2.502816251579007E-2"/>
                  <c:y val="-0.2830154564012831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Task2!$K$56:$K$105</c:f>
              <c:numCache>
                <c:formatCode>General</c:formatCode>
                <c:ptCount val="50"/>
                <c:pt idx="0">
                  <c:v>13.616695289206914</c:v>
                </c:pt>
                <c:pt idx="1">
                  <c:v>13.626565934798004</c:v>
                </c:pt>
                <c:pt idx="2">
                  <c:v>13.462620249646536</c:v>
                </c:pt>
                <c:pt idx="3">
                  <c:v>13.435266137278878</c:v>
                </c:pt>
                <c:pt idx="4">
                  <c:v>13.677868542161207</c:v>
                </c:pt>
                <c:pt idx="5">
                  <c:v>13.539183066721884</c:v>
                </c:pt>
                <c:pt idx="6">
                  <c:v>13.649404569080462</c:v>
                </c:pt>
                <c:pt idx="7">
                  <c:v>13.615866941076366</c:v>
                </c:pt>
                <c:pt idx="8">
                  <c:v>13.757479442105453</c:v>
                </c:pt>
                <c:pt idx="9">
                  <c:v>13.589360336734401</c:v>
                </c:pt>
                <c:pt idx="10">
                  <c:v>13.575532620431366</c:v>
                </c:pt>
                <c:pt idx="11">
                  <c:v>13.52711891292951</c:v>
                </c:pt>
                <c:pt idx="12">
                  <c:v>13.727122583784945</c:v>
                </c:pt>
                <c:pt idx="13">
                  <c:v>13.708616118845034</c:v>
                </c:pt>
                <c:pt idx="14">
                  <c:v>13.650313477998891</c:v>
                </c:pt>
                <c:pt idx="15">
                  <c:v>13.77494270134966</c:v>
                </c:pt>
                <c:pt idx="16">
                  <c:v>13.884476511527163</c:v>
                </c:pt>
                <c:pt idx="17">
                  <c:v>13.783105919951826</c:v>
                </c:pt>
                <c:pt idx="18">
                  <c:v>13.711065830143298</c:v>
                </c:pt>
                <c:pt idx="19">
                  <c:v>13.687082181343698</c:v>
                </c:pt>
                <c:pt idx="20">
                  <c:v>13.648679860893223</c:v>
                </c:pt>
                <c:pt idx="21">
                  <c:v>13.735908632050188</c:v>
                </c:pt>
                <c:pt idx="22">
                  <c:v>13.759430012034663</c:v>
                </c:pt>
                <c:pt idx="23">
                  <c:v>13.683314300901605</c:v>
                </c:pt>
                <c:pt idx="24">
                  <c:v>13.6297570779924</c:v>
                </c:pt>
                <c:pt idx="25">
                  <c:v>13.773001762411436</c:v>
                </c:pt>
                <c:pt idx="26">
                  <c:v>13.875762271000504</c:v>
                </c:pt>
                <c:pt idx="27">
                  <c:v>13.909538575238908</c:v>
                </c:pt>
                <c:pt idx="28">
                  <c:v>13.804903863476332</c:v>
                </c:pt>
                <c:pt idx="29">
                  <c:v>13.78726076440026</c:v>
                </c:pt>
                <c:pt idx="30">
                  <c:v>13.856819024197534</c:v>
                </c:pt>
                <c:pt idx="31">
                  <c:v>13.735180327303048</c:v>
                </c:pt>
                <c:pt idx="32">
                  <c:v>13.891522199878269</c:v>
                </c:pt>
                <c:pt idx="33">
                  <c:v>13.849743088129333</c:v>
                </c:pt>
                <c:pt idx="34">
                  <c:v>14.060653325788818</c:v>
                </c:pt>
                <c:pt idx="35">
                  <c:v>13.948139957687467</c:v>
                </c:pt>
                <c:pt idx="36">
                  <c:v>13.66376014816993</c:v>
                </c:pt>
                <c:pt idx="37">
                  <c:v>13.860771440741818</c:v>
                </c:pt>
                <c:pt idx="38">
                  <c:v>13.777321895591214</c:v>
                </c:pt>
                <c:pt idx="39">
                  <c:v>13.87138512332435</c:v>
                </c:pt>
                <c:pt idx="40">
                  <c:v>13.885346070621498</c:v>
                </c:pt>
                <c:pt idx="41">
                  <c:v>14.055247660935256</c:v>
                </c:pt>
                <c:pt idx="42">
                  <c:v>14.09800329061998</c:v>
                </c:pt>
                <c:pt idx="43">
                  <c:v>14.081829611210715</c:v>
                </c:pt>
                <c:pt idx="44">
                  <c:v>14.224821732970431</c:v>
                </c:pt>
                <c:pt idx="45">
                  <c:v>14.024458561673363</c:v>
                </c:pt>
                <c:pt idx="46">
                  <c:v>13.758193744764446</c:v>
                </c:pt>
                <c:pt idx="47">
                  <c:v>13.786198738388075</c:v>
                </c:pt>
                <c:pt idx="48">
                  <c:v>13.682249057687715</c:v>
                </c:pt>
                <c:pt idx="49">
                  <c:v>13.756722550695644</c:v>
                </c:pt>
              </c:numCache>
            </c:numRef>
          </c:yVal>
          <c:smooth val="1"/>
          <c:extLst>
            <c:ext xmlns:c16="http://schemas.microsoft.com/office/drawing/2014/chart" uri="{C3380CC4-5D6E-409C-BE32-E72D297353CC}">
              <c16:uniqueId val="{00000000-04B5-4B33-B0C9-D79198840853}"/>
            </c:ext>
          </c:extLst>
        </c:ser>
        <c:dLbls>
          <c:showLegendKey val="0"/>
          <c:showVal val="0"/>
          <c:showCatName val="0"/>
          <c:showSerName val="0"/>
          <c:showPercent val="0"/>
          <c:showBubbleSize val="0"/>
        </c:dLbls>
        <c:axId val="1182959423"/>
        <c:axId val="1182958463"/>
      </c:scatterChart>
      <c:valAx>
        <c:axId val="118295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58463"/>
        <c:crosses val="autoZero"/>
        <c:crossBetween val="midCat"/>
      </c:valAx>
      <c:valAx>
        <c:axId val="1182958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594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Task2!$L$55</c:f>
              <c:strCache>
                <c:ptCount val="1"/>
                <c:pt idx="0">
                  <c:v>TsynthDBL2</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7.1522388714355428E-2"/>
                  <c:y val="-0.349833770778652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Task2!$L$56:$L$105</c:f>
              <c:numCache>
                <c:formatCode>General</c:formatCode>
                <c:ptCount val="50"/>
                <c:pt idx="0">
                  <c:v>13.616695289206914</c:v>
                </c:pt>
                <c:pt idx="1">
                  <c:v>13.751590624977627</c:v>
                </c:pt>
                <c:pt idx="2">
                  <c:v>13.861771787151474</c:v>
                </c:pt>
                <c:pt idx="3">
                  <c:v>13.853714809230853</c:v>
                </c:pt>
                <c:pt idx="4">
                  <c:v>13.802454604829357</c:v>
                </c:pt>
                <c:pt idx="5">
                  <c:v>13.448642594493677</c:v>
                </c:pt>
                <c:pt idx="6">
                  <c:v>13.487949473497583</c:v>
                </c:pt>
                <c:pt idx="7">
                  <c:v>13.74210355452013</c:v>
                </c:pt>
                <c:pt idx="8">
                  <c:v>13.796577171609698</c:v>
                </c:pt>
                <c:pt idx="9">
                  <c:v>13.607149344628965</c:v>
                </c:pt>
                <c:pt idx="10">
                  <c:v>13.485071331586825</c:v>
                </c:pt>
                <c:pt idx="11">
                  <c:v>13.489661838320483</c:v>
                </c:pt>
                <c:pt idx="12">
                  <c:v>13.586847209622672</c:v>
                </c:pt>
                <c:pt idx="13">
                  <c:v>13.482146137107769</c:v>
                </c:pt>
                <c:pt idx="14">
                  <c:v>13.683564691963527</c:v>
                </c:pt>
                <c:pt idx="15">
                  <c:v>13.602581473292984</c:v>
                </c:pt>
                <c:pt idx="16">
                  <c:v>13.668331108136911</c:v>
                </c:pt>
                <c:pt idx="17">
                  <c:v>13.461034056928451</c:v>
                </c:pt>
                <c:pt idx="18">
                  <c:v>13.729934686705551</c:v>
                </c:pt>
                <c:pt idx="19">
                  <c:v>13.74815563852451</c:v>
                </c:pt>
                <c:pt idx="20">
                  <c:v>13.564860672128464</c:v>
                </c:pt>
                <c:pt idx="21">
                  <c:v>13.819057139286324</c:v>
                </c:pt>
                <c:pt idx="22">
                  <c:v>14.12593773827966</c:v>
                </c:pt>
                <c:pt idx="23">
                  <c:v>13.743860277647487</c:v>
                </c:pt>
                <c:pt idx="24">
                  <c:v>13.581882237611362</c:v>
                </c:pt>
                <c:pt idx="25">
                  <c:v>13.80418205014259</c:v>
                </c:pt>
                <c:pt idx="26">
                  <c:v>13.886825844338972</c:v>
                </c:pt>
                <c:pt idx="27">
                  <c:v>13.522050915363906</c:v>
                </c:pt>
                <c:pt idx="28">
                  <c:v>13.510424004391711</c:v>
                </c:pt>
                <c:pt idx="29">
                  <c:v>13.819982866920517</c:v>
                </c:pt>
                <c:pt idx="30">
                  <c:v>13.791690239902714</c:v>
                </c:pt>
                <c:pt idx="31">
                  <c:v>13.781985027922541</c:v>
                </c:pt>
                <c:pt idx="32">
                  <c:v>13.61886045880264</c:v>
                </c:pt>
                <c:pt idx="33">
                  <c:v>13.547574224520986</c:v>
                </c:pt>
                <c:pt idx="34">
                  <c:v>13.911003609798728</c:v>
                </c:pt>
                <c:pt idx="35">
                  <c:v>13.612199462406284</c:v>
                </c:pt>
                <c:pt idx="36">
                  <c:v>13.716365070412859</c:v>
                </c:pt>
                <c:pt idx="37">
                  <c:v>13.272042415354337</c:v>
                </c:pt>
                <c:pt idx="38">
                  <c:v>13.505077938339536</c:v>
                </c:pt>
                <c:pt idx="39">
                  <c:v>13.492500315049606</c:v>
                </c:pt>
                <c:pt idx="40">
                  <c:v>13.228513168529762</c:v>
                </c:pt>
                <c:pt idx="41">
                  <c:v>13.678987136554587</c:v>
                </c:pt>
                <c:pt idx="42">
                  <c:v>13.649233829445009</c:v>
                </c:pt>
                <c:pt idx="43">
                  <c:v>13.509507141086836</c:v>
                </c:pt>
                <c:pt idx="44">
                  <c:v>13.923912757207583</c:v>
                </c:pt>
                <c:pt idx="45">
                  <c:v>13.693302282127124</c:v>
                </c:pt>
                <c:pt idx="46">
                  <c:v>13.560621145645174</c:v>
                </c:pt>
                <c:pt idx="47">
                  <c:v>13.979539290876746</c:v>
                </c:pt>
                <c:pt idx="48">
                  <c:v>13.973517408295104</c:v>
                </c:pt>
                <c:pt idx="49">
                  <c:v>14.103728335036879</c:v>
                </c:pt>
              </c:numCache>
            </c:numRef>
          </c:yVal>
          <c:smooth val="1"/>
          <c:extLst>
            <c:ext xmlns:c16="http://schemas.microsoft.com/office/drawing/2014/chart" uri="{C3380CC4-5D6E-409C-BE32-E72D297353CC}">
              <c16:uniqueId val="{00000000-5A22-4498-83D6-29CFC95FD892}"/>
            </c:ext>
          </c:extLst>
        </c:ser>
        <c:dLbls>
          <c:showLegendKey val="0"/>
          <c:showVal val="0"/>
          <c:showCatName val="0"/>
          <c:showSerName val="0"/>
          <c:showPercent val="0"/>
          <c:showBubbleSize val="0"/>
        </c:dLbls>
        <c:axId val="1187285535"/>
        <c:axId val="1187282175"/>
      </c:scatterChart>
      <c:valAx>
        <c:axId val="1187285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82175"/>
        <c:crosses val="autoZero"/>
        <c:crossBetween val="midCat"/>
      </c:valAx>
      <c:valAx>
        <c:axId val="1187282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85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Task2!$M$55</c:f>
              <c:strCache>
                <c:ptCount val="1"/>
                <c:pt idx="0">
                  <c:v>Tsynth3</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2.5808541478036556E-2"/>
                  <c:y val="-0.245804899387576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Task2!$M$56:$M$105</c:f>
              <c:numCache>
                <c:formatCode>General</c:formatCode>
                <c:ptCount val="50"/>
                <c:pt idx="0">
                  <c:v>13.616695289206914</c:v>
                </c:pt>
                <c:pt idx="1">
                  <c:v>13.669383331543049</c:v>
                </c:pt>
                <c:pt idx="2">
                  <c:v>13.535935361684786</c:v>
                </c:pt>
                <c:pt idx="3">
                  <c:v>13.512441734244678</c:v>
                </c:pt>
                <c:pt idx="4">
                  <c:v>13.607000623277997</c:v>
                </c:pt>
                <c:pt idx="5">
                  <c:v>13.459868701739042</c:v>
                </c:pt>
                <c:pt idx="6">
                  <c:v>13.53976224519792</c:v>
                </c:pt>
                <c:pt idx="7">
                  <c:v>13.633169870402259</c:v>
                </c:pt>
                <c:pt idx="8">
                  <c:v>13.536844296080094</c:v>
                </c:pt>
                <c:pt idx="9">
                  <c:v>13.49489276044981</c:v>
                </c:pt>
                <c:pt idx="10">
                  <c:v>13.619762959618253</c:v>
                </c:pt>
                <c:pt idx="11">
                  <c:v>13.912822816463118</c:v>
                </c:pt>
                <c:pt idx="12">
                  <c:v>13.760921081945494</c:v>
                </c:pt>
                <c:pt idx="13">
                  <c:v>13.576267661624199</c:v>
                </c:pt>
                <c:pt idx="14">
                  <c:v>13.805431615164254</c:v>
                </c:pt>
                <c:pt idx="15">
                  <c:v>13.688410699408164</c:v>
                </c:pt>
                <c:pt idx="16">
                  <c:v>13.663180442417614</c:v>
                </c:pt>
                <c:pt idx="17">
                  <c:v>13.58491641132767</c:v>
                </c:pt>
                <c:pt idx="18">
                  <c:v>13.76319979686307</c:v>
                </c:pt>
                <c:pt idx="19">
                  <c:v>13.838381738512361</c:v>
                </c:pt>
                <c:pt idx="20">
                  <c:v>13.83365368219606</c:v>
                </c:pt>
                <c:pt idx="21">
                  <c:v>13.68541171767019</c:v>
                </c:pt>
                <c:pt idx="22">
                  <c:v>13.710206048145368</c:v>
                </c:pt>
                <c:pt idx="23">
                  <c:v>13.708742986327374</c:v>
                </c:pt>
                <c:pt idx="24">
                  <c:v>13.820873945016363</c:v>
                </c:pt>
                <c:pt idx="25">
                  <c:v>13.816141090302507</c:v>
                </c:pt>
                <c:pt idx="26">
                  <c:v>13.843817439352227</c:v>
                </c:pt>
                <c:pt idx="27">
                  <c:v>13.727931404563506</c:v>
                </c:pt>
                <c:pt idx="28">
                  <c:v>13.689704009513965</c:v>
                </c:pt>
                <c:pt idx="29">
                  <c:v>13.637487925728013</c:v>
                </c:pt>
                <c:pt idx="30">
                  <c:v>13.609594455302377</c:v>
                </c:pt>
                <c:pt idx="31">
                  <c:v>13.643071228653854</c:v>
                </c:pt>
                <c:pt idx="32">
                  <c:v>13.511952134756616</c:v>
                </c:pt>
                <c:pt idx="33">
                  <c:v>13.812956605248747</c:v>
                </c:pt>
                <c:pt idx="34">
                  <c:v>13.805031756946709</c:v>
                </c:pt>
                <c:pt idx="35">
                  <c:v>13.72286412397453</c:v>
                </c:pt>
                <c:pt idx="36">
                  <c:v>13.723828329216085</c:v>
                </c:pt>
                <c:pt idx="37">
                  <c:v>13.629826304125391</c:v>
                </c:pt>
                <c:pt idx="38">
                  <c:v>13.685129884076845</c:v>
                </c:pt>
                <c:pt idx="39">
                  <c:v>13.77418014820198</c:v>
                </c:pt>
                <c:pt idx="40">
                  <c:v>13.763483451608657</c:v>
                </c:pt>
                <c:pt idx="41">
                  <c:v>13.947784552234895</c:v>
                </c:pt>
                <c:pt idx="42">
                  <c:v>13.8322991369514</c:v>
                </c:pt>
                <c:pt idx="43">
                  <c:v>13.892670009273214</c:v>
                </c:pt>
                <c:pt idx="44">
                  <c:v>13.80981757045568</c:v>
                </c:pt>
                <c:pt idx="45">
                  <c:v>13.872933907768381</c:v>
                </c:pt>
                <c:pt idx="46">
                  <c:v>13.797183346443198</c:v>
                </c:pt>
                <c:pt idx="47">
                  <c:v>13.730246768158361</c:v>
                </c:pt>
                <c:pt idx="48">
                  <c:v>13.808743825007637</c:v>
                </c:pt>
                <c:pt idx="49">
                  <c:v>13.818938717172347</c:v>
                </c:pt>
              </c:numCache>
            </c:numRef>
          </c:yVal>
          <c:smooth val="1"/>
          <c:extLst>
            <c:ext xmlns:c16="http://schemas.microsoft.com/office/drawing/2014/chart" uri="{C3380CC4-5D6E-409C-BE32-E72D297353CC}">
              <c16:uniqueId val="{00000000-90A6-46A2-983D-25B0AADCBC5D}"/>
            </c:ext>
          </c:extLst>
        </c:ser>
        <c:dLbls>
          <c:showLegendKey val="0"/>
          <c:showVal val="0"/>
          <c:showCatName val="0"/>
          <c:showSerName val="0"/>
          <c:showPercent val="0"/>
          <c:showBubbleSize val="0"/>
        </c:dLbls>
        <c:axId val="169753887"/>
        <c:axId val="169754367"/>
      </c:scatterChart>
      <c:valAx>
        <c:axId val="169753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4367"/>
        <c:crosses val="autoZero"/>
        <c:crossBetween val="midCat"/>
      </c:valAx>
      <c:valAx>
        <c:axId val="1697543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38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Task2!$N$55</c:f>
              <c:strCache>
                <c:ptCount val="1"/>
                <c:pt idx="0">
                  <c:v>TsynthDBL3</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8.4017692088649842E-2"/>
                  <c:y val="-0.343623869932925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Task2!$N$56:$N$105</c:f>
              <c:numCache>
                <c:formatCode>General</c:formatCode>
                <c:ptCount val="50"/>
                <c:pt idx="0">
                  <c:v>13.616695289206914</c:v>
                </c:pt>
                <c:pt idx="1">
                  <c:v>13.568106286859752</c:v>
                </c:pt>
                <c:pt idx="2">
                  <c:v>13.841410063228835</c:v>
                </c:pt>
                <c:pt idx="3">
                  <c:v>13.765589561112042</c:v>
                </c:pt>
                <c:pt idx="4">
                  <c:v>14.047516563068193</c:v>
                </c:pt>
                <c:pt idx="5">
                  <c:v>13.966337033512136</c:v>
                </c:pt>
                <c:pt idx="6">
                  <c:v>13.773664885687102</c:v>
                </c:pt>
                <c:pt idx="7">
                  <c:v>13.658285361953251</c:v>
                </c:pt>
                <c:pt idx="8">
                  <c:v>13.966740869387053</c:v>
                </c:pt>
                <c:pt idx="9">
                  <c:v>13.906452714030261</c:v>
                </c:pt>
                <c:pt idx="10">
                  <c:v>13.898999925579155</c:v>
                </c:pt>
                <c:pt idx="11">
                  <c:v>13.758199478962654</c:v>
                </c:pt>
                <c:pt idx="12">
                  <c:v>13.223200410696357</c:v>
                </c:pt>
                <c:pt idx="13">
                  <c:v>13.761580872181179</c:v>
                </c:pt>
                <c:pt idx="14">
                  <c:v>13.841415023017783</c:v>
                </c:pt>
                <c:pt idx="15">
                  <c:v>13.836472003644687</c:v>
                </c:pt>
                <c:pt idx="16">
                  <c:v>14.192187674675541</c:v>
                </c:pt>
                <c:pt idx="17">
                  <c:v>14.048393164952753</c:v>
                </c:pt>
                <c:pt idx="18">
                  <c:v>13.885762308720258</c:v>
                </c:pt>
                <c:pt idx="19">
                  <c:v>13.629349507423612</c:v>
                </c:pt>
                <c:pt idx="20">
                  <c:v>13.587994297834651</c:v>
                </c:pt>
                <c:pt idx="21">
                  <c:v>13.784422099229884</c:v>
                </c:pt>
                <c:pt idx="22">
                  <c:v>13.962034549905683</c:v>
                </c:pt>
                <c:pt idx="23">
                  <c:v>13.743725323368356</c:v>
                </c:pt>
                <c:pt idx="24">
                  <c:v>13.720781995721389</c:v>
                </c:pt>
                <c:pt idx="25">
                  <c:v>13.794530107154154</c:v>
                </c:pt>
                <c:pt idx="26">
                  <c:v>13.45869612091164</c:v>
                </c:pt>
                <c:pt idx="27">
                  <c:v>13.786014745522888</c:v>
                </c:pt>
                <c:pt idx="28">
                  <c:v>14.210959797239644</c:v>
                </c:pt>
                <c:pt idx="29">
                  <c:v>14.219437865896852</c:v>
                </c:pt>
                <c:pt idx="30">
                  <c:v>13.905647996683896</c:v>
                </c:pt>
                <c:pt idx="31">
                  <c:v>13.708226528875164</c:v>
                </c:pt>
                <c:pt idx="32">
                  <c:v>13.833347200630834</c:v>
                </c:pt>
                <c:pt idx="33">
                  <c:v>13.93857414249892</c:v>
                </c:pt>
                <c:pt idx="34">
                  <c:v>13.698817170311113</c:v>
                </c:pt>
                <c:pt idx="35">
                  <c:v>13.773806758551832</c:v>
                </c:pt>
                <c:pt idx="36">
                  <c:v>13.420801577006358</c:v>
                </c:pt>
                <c:pt idx="37">
                  <c:v>13.966705626269933</c:v>
                </c:pt>
                <c:pt idx="38">
                  <c:v>14.080359003263272</c:v>
                </c:pt>
                <c:pt idx="39">
                  <c:v>13.93232902404039</c:v>
                </c:pt>
                <c:pt idx="40">
                  <c:v>14.225280051386767</c:v>
                </c:pt>
                <c:pt idx="41">
                  <c:v>13.644614384222386</c:v>
                </c:pt>
                <c:pt idx="42">
                  <c:v>13.6166533910514</c:v>
                </c:pt>
                <c:pt idx="43">
                  <c:v>13.790966650670381</c:v>
                </c:pt>
                <c:pt idx="44">
                  <c:v>13.719038028146707</c:v>
                </c:pt>
                <c:pt idx="45">
                  <c:v>13.64485249198313</c:v>
                </c:pt>
                <c:pt idx="46">
                  <c:v>13.690862742349633</c:v>
                </c:pt>
                <c:pt idx="47">
                  <c:v>13.580381749896766</c:v>
                </c:pt>
                <c:pt idx="48">
                  <c:v>13.742439276383893</c:v>
                </c:pt>
                <c:pt idx="49">
                  <c:v>13.966035935077926</c:v>
                </c:pt>
              </c:numCache>
            </c:numRef>
          </c:yVal>
          <c:smooth val="1"/>
          <c:extLst>
            <c:ext xmlns:c16="http://schemas.microsoft.com/office/drawing/2014/chart" uri="{C3380CC4-5D6E-409C-BE32-E72D297353CC}">
              <c16:uniqueId val="{00000000-9DAC-4223-B3F1-BB72A7EB720C}"/>
            </c:ext>
          </c:extLst>
        </c:ser>
        <c:dLbls>
          <c:showLegendKey val="0"/>
          <c:showVal val="0"/>
          <c:showCatName val="0"/>
          <c:showSerName val="0"/>
          <c:showPercent val="0"/>
          <c:showBubbleSize val="0"/>
        </c:dLbls>
        <c:axId val="169754847"/>
        <c:axId val="169748607"/>
      </c:scatterChart>
      <c:valAx>
        <c:axId val="169754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8607"/>
        <c:crosses val="autoZero"/>
        <c:crossBetween val="midCat"/>
      </c:valAx>
      <c:valAx>
        <c:axId val="169748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4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Task2!$O$55</c:f>
              <c:strCache>
                <c:ptCount val="1"/>
                <c:pt idx="0">
                  <c:v>Tsynth4</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2.417333658495505E-2"/>
                  <c:y val="-0.333374161563137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Task2!$O$56:$O$105</c:f>
              <c:numCache>
                <c:formatCode>General</c:formatCode>
                <c:ptCount val="50"/>
                <c:pt idx="0">
                  <c:v>13.616695289206914</c:v>
                </c:pt>
                <c:pt idx="1">
                  <c:v>13.521809029000847</c:v>
                </c:pt>
                <c:pt idx="2">
                  <c:v>13.534209488485589</c:v>
                </c:pt>
                <c:pt idx="3">
                  <c:v>13.636636949537447</c:v>
                </c:pt>
                <c:pt idx="4">
                  <c:v>13.65051041660997</c:v>
                </c:pt>
                <c:pt idx="5">
                  <c:v>13.700687948816153</c:v>
                </c:pt>
                <c:pt idx="6">
                  <c:v>13.708124898935649</c:v>
                </c:pt>
                <c:pt idx="7">
                  <c:v>13.698800638471228</c:v>
                </c:pt>
                <c:pt idx="8">
                  <c:v>13.637757162199883</c:v>
                </c:pt>
                <c:pt idx="9">
                  <c:v>13.65470582851373</c:v>
                </c:pt>
                <c:pt idx="10">
                  <c:v>13.64604067002451</c:v>
                </c:pt>
                <c:pt idx="11">
                  <c:v>13.62980058771716</c:v>
                </c:pt>
                <c:pt idx="12">
                  <c:v>13.60001370039409</c:v>
                </c:pt>
                <c:pt idx="13">
                  <c:v>13.568891647447838</c:v>
                </c:pt>
                <c:pt idx="14">
                  <c:v>13.543847444927637</c:v>
                </c:pt>
                <c:pt idx="15">
                  <c:v>13.714994458954346</c:v>
                </c:pt>
                <c:pt idx="16">
                  <c:v>13.754957268130708</c:v>
                </c:pt>
                <c:pt idx="17">
                  <c:v>13.754542267722105</c:v>
                </c:pt>
                <c:pt idx="18">
                  <c:v>13.735794074681131</c:v>
                </c:pt>
                <c:pt idx="19">
                  <c:v>13.818920147484786</c:v>
                </c:pt>
                <c:pt idx="20">
                  <c:v>13.762096183611011</c:v>
                </c:pt>
                <c:pt idx="21">
                  <c:v>13.547684130437295</c:v>
                </c:pt>
                <c:pt idx="22">
                  <c:v>13.466843948404765</c:v>
                </c:pt>
                <c:pt idx="23">
                  <c:v>13.726230081316693</c:v>
                </c:pt>
                <c:pt idx="24">
                  <c:v>13.86877378572887</c:v>
                </c:pt>
                <c:pt idx="25">
                  <c:v>13.932958661797322</c:v>
                </c:pt>
                <c:pt idx="26">
                  <c:v>13.894935046816832</c:v>
                </c:pt>
                <c:pt idx="27">
                  <c:v>13.754338961325919</c:v>
                </c:pt>
                <c:pt idx="28">
                  <c:v>13.799666376808096</c:v>
                </c:pt>
                <c:pt idx="29">
                  <c:v>13.775821833442341</c:v>
                </c:pt>
                <c:pt idx="30">
                  <c:v>13.846735244233196</c:v>
                </c:pt>
                <c:pt idx="31">
                  <c:v>13.907018972808245</c:v>
                </c:pt>
                <c:pt idx="32">
                  <c:v>13.946781591861383</c:v>
                </c:pt>
                <c:pt idx="33">
                  <c:v>13.852899570315381</c:v>
                </c:pt>
                <c:pt idx="34">
                  <c:v>13.729529484859146</c:v>
                </c:pt>
                <c:pt idx="35">
                  <c:v>13.549639320569474</c:v>
                </c:pt>
                <c:pt idx="36">
                  <c:v>13.587814451289429</c:v>
                </c:pt>
                <c:pt idx="37">
                  <c:v>13.79323680182701</c:v>
                </c:pt>
                <c:pt idx="38">
                  <c:v>13.793534127810618</c:v>
                </c:pt>
                <c:pt idx="39">
                  <c:v>13.884027601145423</c:v>
                </c:pt>
                <c:pt idx="40">
                  <c:v>13.865528136762688</c:v>
                </c:pt>
                <c:pt idx="41">
                  <c:v>13.826243753089308</c:v>
                </c:pt>
                <c:pt idx="42">
                  <c:v>13.831360482730517</c:v>
                </c:pt>
                <c:pt idx="43">
                  <c:v>14.178026997915484</c:v>
                </c:pt>
                <c:pt idx="44">
                  <c:v>14.083788727744608</c:v>
                </c:pt>
                <c:pt idx="45">
                  <c:v>13.848901522669493</c:v>
                </c:pt>
                <c:pt idx="46">
                  <c:v>13.908558131205085</c:v>
                </c:pt>
                <c:pt idx="47">
                  <c:v>14.05752250189501</c:v>
                </c:pt>
                <c:pt idx="48">
                  <c:v>13.84805309378903</c:v>
                </c:pt>
                <c:pt idx="49">
                  <c:v>13.875271837447706</c:v>
                </c:pt>
              </c:numCache>
            </c:numRef>
          </c:yVal>
          <c:smooth val="1"/>
          <c:extLst>
            <c:ext xmlns:c16="http://schemas.microsoft.com/office/drawing/2014/chart" uri="{C3380CC4-5D6E-409C-BE32-E72D297353CC}">
              <c16:uniqueId val="{00000000-BA17-4E46-A894-24D61405A800}"/>
            </c:ext>
          </c:extLst>
        </c:ser>
        <c:dLbls>
          <c:showLegendKey val="0"/>
          <c:showVal val="0"/>
          <c:showCatName val="0"/>
          <c:showSerName val="0"/>
          <c:showPercent val="0"/>
          <c:showBubbleSize val="0"/>
        </c:dLbls>
        <c:axId val="1875565151"/>
        <c:axId val="1875565631"/>
      </c:scatterChart>
      <c:valAx>
        <c:axId val="1875565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65631"/>
        <c:crosses val="autoZero"/>
        <c:crossBetween val="midCat"/>
      </c:valAx>
      <c:valAx>
        <c:axId val="187556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65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Task2!$P$55</c:f>
              <c:strCache>
                <c:ptCount val="1"/>
                <c:pt idx="0">
                  <c:v>TsynthDBL4</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8.1980781512074274E-2"/>
                  <c:y val="-0.34622193059200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Task2!$P$56:$P$105</c:f>
              <c:numCache>
                <c:formatCode>General</c:formatCode>
                <c:ptCount val="50"/>
                <c:pt idx="0">
                  <c:v>13.616695289206914</c:v>
                </c:pt>
                <c:pt idx="1">
                  <c:v>13.61679627681783</c:v>
                </c:pt>
                <c:pt idx="2">
                  <c:v>13.73740002452065</c:v>
                </c:pt>
                <c:pt idx="3">
                  <c:v>13.82536094317337</c:v>
                </c:pt>
                <c:pt idx="4">
                  <c:v>13.548394278908278</c:v>
                </c:pt>
                <c:pt idx="5">
                  <c:v>13.70340180705379</c:v>
                </c:pt>
                <c:pt idx="6">
                  <c:v>13.920031539049527</c:v>
                </c:pt>
                <c:pt idx="7">
                  <c:v>13.578010912160273</c:v>
                </c:pt>
                <c:pt idx="8">
                  <c:v>13.602914769220225</c:v>
                </c:pt>
                <c:pt idx="9">
                  <c:v>13.653905267586739</c:v>
                </c:pt>
                <c:pt idx="10">
                  <c:v>13.591032239379544</c:v>
                </c:pt>
                <c:pt idx="11">
                  <c:v>13.729578594259307</c:v>
                </c:pt>
                <c:pt idx="12">
                  <c:v>13.896005510504866</c:v>
                </c:pt>
                <c:pt idx="13">
                  <c:v>13.860483123354767</c:v>
                </c:pt>
                <c:pt idx="14">
                  <c:v>13.99527144842148</c:v>
                </c:pt>
                <c:pt idx="15">
                  <c:v>13.842342867309453</c:v>
                </c:pt>
                <c:pt idx="16">
                  <c:v>13.611851921347736</c:v>
                </c:pt>
                <c:pt idx="17">
                  <c:v>13.632897258345938</c:v>
                </c:pt>
                <c:pt idx="18">
                  <c:v>13.31125906003455</c:v>
                </c:pt>
                <c:pt idx="19">
                  <c:v>13.37895774420563</c:v>
                </c:pt>
                <c:pt idx="20">
                  <c:v>13.473809529344729</c:v>
                </c:pt>
                <c:pt idx="21">
                  <c:v>13.334716007132005</c:v>
                </c:pt>
                <c:pt idx="22">
                  <c:v>13.448732020408869</c:v>
                </c:pt>
                <c:pt idx="23">
                  <c:v>13.908745627847217</c:v>
                </c:pt>
                <c:pt idx="24">
                  <c:v>13.684188693697802</c:v>
                </c:pt>
                <c:pt idx="25">
                  <c:v>13.978644670378157</c:v>
                </c:pt>
                <c:pt idx="26">
                  <c:v>13.816935227980665</c:v>
                </c:pt>
                <c:pt idx="27">
                  <c:v>13.877839722434382</c:v>
                </c:pt>
                <c:pt idx="28">
                  <c:v>13.759539824799216</c:v>
                </c:pt>
                <c:pt idx="29">
                  <c:v>13.49656709079942</c:v>
                </c:pt>
                <c:pt idx="30">
                  <c:v>13.279220305947982</c:v>
                </c:pt>
                <c:pt idx="31">
                  <c:v>13.206175200350543</c:v>
                </c:pt>
                <c:pt idx="32">
                  <c:v>13.700802517989402</c:v>
                </c:pt>
                <c:pt idx="33">
                  <c:v>14.008106096462249</c:v>
                </c:pt>
                <c:pt idx="34">
                  <c:v>13.482291158601388</c:v>
                </c:pt>
                <c:pt idx="35">
                  <c:v>13.254284561108802</c:v>
                </c:pt>
                <c:pt idx="36">
                  <c:v>13.876925769804993</c:v>
                </c:pt>
                <c:pt idx="37">
                  <c:v>13.841112675427871</c:v>
                </c:pt>
                <c:pt idx="38">
                  <c:v>13.568872870173061</c:v>
                </c:pt>
                <c:pt idx="39">
                  <c:v>13.628853622165758</c:v>
                </c:pt>
                <c:pt idx="40">
                  <c:v>13.563856517297015</c:v>
                </c:pt>
                <c:pt idx="41">
                  <c:v>13.863684023823145</c:v>
                </c:pt>
                <c:pt idx="42">
                  <c:v>13.576399877564914</c:v>
                </c:pt>
                <c:pt idx="43">
                  <c:v>13.382233666180001</c:v>
                </c:pt>
                <c:pt idx="44">
                  <c:v>13.511349609967032</c:v>
                </c:pt>
                <c:pt idx="45">
                  <c:v>13.85448223308966</c:v>
                </c:pt>
                <c:pt idx="46">
                  <c:v>13.669808571732901</c:v>
                </c:pt>
                <c:pt idx="47">
                  <c:v>13.845009586398316</c:v>
                </c:pt>
                <c:pt idx="48">
                  <c:v>13.815738504574474</c:v>
                </c:pt>
                <c:pt idx="49">
                  <c:v>13.84386853320723</c:v>
                </c:pt>
              </c:numCache>
            </c:numRef>
          </c:yVal>
          <c:smooth val="1"/>
          <c:extLst>
            <c:ext xmlns:c16="http://schemas.microsoft.com/office/drawing/2014/chart" uri="{C3380CC4-5D6E-409C-BE32-E72D297353CC}">
              <c16:uniqueId val="{00000000-4379-443B-BF91-393075D0128E}"/>
            </c:ext>
          </c:extLst>
        </c:ser>
        <c:dLbls>
          <c:showLegendKey val="0"/>
          <c:showVal val="0"/>
          <c:showCatName val="0"/>
          <c:showSerName val="0"/>
          <c:showPercent val="0"/>
          <c:showBubbleSize val="0"/>
        </c:dLbls>
        <c:axId val="301750239"/>
        <c:axId val="301753119"/>
      </c:scatterChart>
      <c:valAx>
        <c:axId val="30175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753119"/>
        <c:crosses val="autoZero"/>
        <c:crossBetween val="midCat"/>
      </c:valAx>
      <c:valAx>
        <c:axId val="301753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750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Task2!$Q$55</c:f>
              <c:strCache>
                <c:ptCount val="1"/>
                <c:pt idx="0">
                  <c:v>Tsynth5</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4.0490270094427391E-2"/>
                  <c:y val="-0.320610965296004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Task2!$Q$56:$Q$105</c:f>
              <c:numCache>
                <c:formatCode>General</c:formatCode>
                <c:ptCount val="50"/>
                <c:pt idx="0">
                  <c:v>13.616695289206914</c:v>
                </c:pt>
                <c:pt idx="1">
                  <c:v>13.644844448130398</c:v>
                </c:pt>
                <c:pt idx="2">
                  <c:v>13.667012498206907</c:v>
                </c:pt>
                <c:pt idx="3">
                  <c:v>13.463037004580148</c:v>
                </c:pt>
                <c:pt idx="4">
                  <c:v>13.623367159887309</c:v>
                </c:pt>
                <c:pt idx="5">
                  <c:v>13.632211120470133</c:v>
                </c:pt>
                <c:pt idx="6">
                  <c:v>13.599666833554998</c:v>
                </c:pt>
                <c:pt idx="7">
                  <c:v>13.571570485605713</c:v>
                </c:pt>
                <c:pt idx="8">
                  <c:v>13.6916064233748</c:v>
                </c:pt>
                <c:pt idx="9">
                  <c:v>13.902965469714291</c:v>
                </c:pt>
                <c:pt idx="10">
                  <c:v>13.744487893308911</c:v>
                </c:pt>
                <c:pt idx="11">
                  <c:v>13.665695586381929</c:v>
                </c:pt>
                <c:pt idx="12">
                  <c:v>13.685119624535469</c:v>
                </c:pt>
                <c:pt idx="13">
                  <c:v>13.684492606322589</c:v>
                </c:pt>
                <c:pt idx="14">
                  <c:v>13.748156814626784</c:v>
                </c:pt>
                <c:pt idx="15">
                  <c:v>13.685708888435606</c:v>
                </c:pt>
                <c:pt idx="16">
                  <c:v>13.629790031790161</c:v>
                </c:pt>
                <c:pt idx="17">
                  <c:v>13.402056647048166</c:v>
                </c:pt>
                <c:pt idx="18">
                  <c:v>13.632336528717705</c:v>
                </c:pt>
                <c:pt idx="19">
                  <c:v>13.763794497279985</c:v>
                </c:pt>
                <c:pt idx="20">
                  <c:v>13.920415115967854</c:v>
                </c:pt>
                <c:pt idx="21">
                  <c:v>13.824504610915877</c:v>
                </c:pt>
                <c:pt idx="22">
                  <c:v>14.07820896669797</c:v>
                </c:pt>
                <c:pt idx="23">
                  <c:v>13.987586215436476</c:v>
                </c:pt>
                <c:pt idx="24">
                  <c:v>13.837253303693046</c:v>
                </c:pt>
                <c:pt idx="25">
                  <c:v>13.702748233002048</c:v>
                </c:pt>
                <c:pt idx="26">
                  <c:v>13.777500295608325</c:v>
                </c:pt>
                <c:pt idx="27">
                  <c:v>13.802973015656057</c:v>
                </c:pt>
                <c:pt idx="28">
                  <c:v>13.773972779094997</c:v>
                </c:pt>
                <c:pt idx="29">
                  <c:v>13.740028355285482</c:v>
                </c:pt>
                <c:pt idx="30">
                  <c:v>13.804762379455212</c:v>
                </c:pt>
                <c:pt idx="31">
                  <c:v>13.824746200685253</c:v>
                </c:pt>
                <c:pt idx="32">
                  <c:v>13.791760349732938</c:v>
                </c:pt>
                <c:pt idx="33">
                  <c:v>13.961967445735409</c:v>
                </c:pt>
                <c:pt idx="34">
                  <c:v>14.000543181644929</c:v>
                </c:pt>
                <c:pt idx="35">
                  <c:v>13.927113223734848</c:v>
                </c:pt>
                <c:pt idx="36">
                  <c:v>13.859283179803866</c:v>
                </c:pt>
                <c:pt idx="37">
                  <c:v>13.782953200340961</c:v>
                </c:pt>
                <c:pt idx="38">
                  <c:v>13.721422436622047</c:v>
                </c:pt>
                <c:pt idx="39">
                  <c:v>13.777293391537832</c:v>
                </c:pt>
                <c:pt idx="40">
                  <c:v>13.740185550665997</c:v>
                </c:pt>
                <c:pt idx="41">
                  <c:v>14.009002911656124</c:v>
                </c:pt>
                <c:pt idx="42">
                  <c:v>13.978078625910641</c:v>
                </c:pt>
                <c:pt idx="43">
                  <c:v>13.845301768209584</c:v>
                </c:pt>
                <c:pt idx="44">
                  <c:v>13.666777936695114</c:v>
                </c:pt>
                <c:pt idx="45">
                  <c:v>13.691462389470054</c:v>
                </c:pt>
                <c:pt idx="46">
                  <c:v>13.626267776149334</c:v>
                </c:pt>
                <c:pt idx="47">
                  <c:v>13.675745355035287</c:v>
                </c:pt>
                <c:pt idx="48">
                  <c:v>13.591694208592667</c:v>
                </c:pt>
                <c:pt idx="49">
                  <c:v>13.677801117952724</c:v>
                </c:pt>
              </c:numCache>
            </c:numRef>
          </c:yVal>
          <c:smooth val="1"/>
          <c:extLst>
            <c:ext xmlns:c16="http://schemas.microsoft.com/office/drawing/2014/chart" uri="{C3380CC4-5D6E-409C-BE32-E72D297353CC}">
              <c16:uniqueId val="{00000000-8A30-4319-BF1B-CCD6BA937FBB}"/>
            </c:ext>
          </c:extLst>
        </c:ser>
        <c:dLbls>
          <c:showLegendKey val="0"/>
          <c:showVal val="0"/>
          <c:showCatName val="0"/>
          <c:showSerName val="0"/>
          <c:showPercent val="0"/>
          <c:showBubbleSize val="0"/>
        </c:dLbls>
        <c:axId val="1872766543"/>
        <c:axId val="1872767023"/>
      </c:scatterChart>
      <c:valAx>
        <c:axId val="1872766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67023"/>
        <c:crosses val="autoZero"/>
        <c:crossBetween val="midCat"/>
      </c:valAx>
      <c:valAx>
        <c:axId val="1872767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66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Task2!$R$55</c:f>
              <c:strCache>
                <c:ptCount val="1"/>
                <c:pt idx="0">
                  <c:v>TsynthDBL5</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0.16352844001462577"/>
                  <c:y val="-0.225378025663458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Task2!$H$56:$H$105</c:f>
              <c:numCache>
                <c:formatCode>General</c:formatCode>
                <c:ptCount val="50"/>
                <c:pt idx="0">
                  <c:v>1880</c:v>
                </c:pt>
                <c:pt idx="1">
                  <c:v>1881</c:v>
                </c:pt>
                <c:pt idx="2">
                  <c:v>1882</c:v>
                </c:pt>
                <c:pt idx="3">
                  <c:v>1883</c:v>
                </c:pt>
                <c:pt idx="4">
                  <c:v>1884</c:v>
                </c:pt>
                <c:pt idx="5">
                  <c:v>1885</c:v>
                </c:pt>
                <c:pt idx="6">
                  <c:v>1886</c:v>
                </c:pt>
                <c:pt idx="7">
                  <c:v>1887</c:v>
                </c:pt>
                <c:pt idx="8">
                  <c:v>1888</c:v>
                </c:pt>
                <c:pt idx="9">
                  <c:v>1889</c:v>
                </c:pt>
                <c:pt idx="10">
                  <c:v>1890</c:v>
                </c:pt>
                <c:pt idx="11">
                  <c:v>1891</c:v>
                </c:pt>
                <c:pt idx="12">
                  <c:v>1892</c:v>
                </c:pt>
                <c:pt idx="13">
                  <c:v>1893</c:v>
                </c:pt>
                <c:pt idx="14">
                  <c:v>1894</c:v>
                </c:pt>
                <c:pt idx="15">
                  <c:v>1895</c:v>
                </c:pt>
                <c:pt idx="16">
                  <c:v>1896</c:v>
                </c:pt>
                <c:pt idx="17">
                  <c:v>1897</c:v>
                </c:pt>
                <c:pt idx="18">
                  <c:v>1898</c:v>
                </c:pt>
                <c:pt idx="19">
                  <c:v>1899</c:v>
                </c:pt>
                <c:pt idx="20">
                  <c:v>1900</c:v>
                </c:pt>
                <c:pt idx="21">
                  <c:v>1901</c:v>
                </c:pt>
                <c:pt idx="22">
                  <c:v>1902</c:v>
                </c:pt>
                <c:pt idx="23">
                  <c:v>1903</c:v>
                </c:pt>
                <c:pt idx="24">
                  <c:v>1904</c:v>
                </c:pt>
                <c:pt idx="25">
                  <c:v>1905</c:v>
                </c:pt>
                <c:pt idx="26">
                  <c:v>1906</c:v>
                </c:pt>
                <c:pt idx="27">
                  <c:v>1907</c:v>
                </c:pt>
                <c:pt idx="28">
                  <c:v>1908</c:v>
                </c:pt>
                <c:pt idx="29">
                  <c:v>1909</c:v>
                </c:pt>
                <c:pt idx="30">
                  <c:v>1910</c:v>
                </c:pt>
                <c:pt idx="31">
                  <c:v>1911</c:v>
                </c:pt>
                <c:pt idx="32">
                  <c:v>1912</c:v>
                </c:pt>
                <c:pt idx="33">
                  <c:v>1913</c:v>
                </c:pt>
                <c:pt idx="34">
                  <c:v>1914</c:v>
                </c:pt>
                <c:pt idx="35">
                  <c:v>1915</c:v>
                </c:pt>
                <c:pt idx="36">
                  <c:v>1916</c:v>
                </c:pt>
                <c:pt idx="37">
                  <c:v>1917</c:v>
                </c:pt>
                <c:pt idx="38">
                  <c:v>1918</c:v>
                </c:pt>
                <c:pt idx="39">
                  <c:v>1919</c:v>
                </c:pt>
                <c:pt idx="40">
                  <c:v>1920</c:v>
                </c:pt>
                <c:pt idx="41">
                  <c:v>1921</c:v>
                </c:pt>
                <c:pt idx="42">
                  <c:v>1922</c:v>
                </c:pt>
                <c:pt idx="43">
                  <c:v>1923</c:v>
                </c:pt>
                <c:pt idx="44">
                  <c:v>1924</c:v>
                </c:pt>
                <c:pt idx="45">
                  <c:v>1925</c:v>
                </c:pt>
                <c:pt idx="46">
                  <c:v>1926</c:v>
                </c:pt>
                <c:pt idx="47">
                  <c:v>1927</c:v>
                </c:pt>
                <c:pt idx="48">
                  <c:v>1928</c:v>
                </c:pt>
                <c:pt idx="49">
                  <c:v>1929</c:v>
                </c:pt>
              </c:numCache>
            </c:numRef>
          </c:xVal>
          <c:yVal>
            <c:numRef>
              <c:f>Task2!$R$56:$R$105</c:f>
              <c:numCache>
                <c:formatCode>General</c:formatCode>
                <c:ptCount val="50"/>
                <c:pt idx="0">
                  <c:v>13.616695289206914</c:v>
                </c:pt>
                <c:pt idx="1">
                  <c:v>13.672710278357673</c:v>
                </c:pt>
                <c:pt idx="2">
                  <c:v>13.679291540304275</c:v>
                </c:pt>
                <c:pt idx="3">
                  <c:v>13.416359307435492</c:v>
                </c:pt>
                <c:pt idx="4">
                  <c:v>13.27114416180304</c:v>
                </c:pt>
                <c:pt idx="5">
                  <c:v>13.487739484209879</c:v>
                </c:pt>
                <c:pt idx="6">
                  <c:v>13.413427778699175</c:v>
                </c:pt>
                <c:pt idx="7">
                  <c:v>13.417992178853346</c:v>
                </c:pt>
                <c:pt idx="8">
                  <c:v>13.392936374732312</c:v>
                </c:pt>
                <c:pt idx="9">
                  <c:v>13.18166235733403</c:v>
                </c:pt>
                <c:pt idx="10">
                  <c:v>13.631510555761093</c:v>
                </c:pt>
                <c:pt idx="11">
                  <c:v>13.60514064414418</c:v>
                </c:pt>
                <c:pt idx="12">
                  <c:v>13.916553452299468</c:v>
                </c:pt>
                <c:pt idx="13">
                  <c:v>13.698994794192537</c:v>
                </c:pt>
                <c:pt idx="14">
                  <c:v>13.943933143300654</c:v>
                </c:pt>
                <c:pt idx="15">
                  <c:v>13.835080697001761</c:v>
                </c:pt>
                <c:pt idx="16">
                  <c:v>13.681735536970812</c:v>
                </c:pt>
                <c:pt idx="17">
                  <c:v>13.646789707041494</c:v>
                </c:pt>
                <c:pt idx="18">
                  <c:v>13.577132148156345</c:v>
                </c:pt>
                <c:pt idx="19">
                  <c:v>13.963477191922898</c:v>
                </c:pt>
                <c:pt idx="20">
                  <c:v>14.001915496720123</c:v>
                </c:pt>
                <c:pt idx="21">
                  <c:v>14.076969144571164</c:v>
                </c:pt>
                <c:pt idx="22">
                  <c:v>14.281072870483021</c:v>
                </c:pt>
                <c:pt idx="23">
                  <c:v>14.18788660445448</c:v>
                </c:pt>
                <c:pt idx="24">
                  <c:v>13.969834716680026</c:v>
                </c:pt>
                <c:pt idx="25">
                  <c:v>14.275805872246794</c:v>
                </c:pt>
                <c:pt idx="26">
                  <c:v>14.222568755054203</c:v>
                </c:pt>
                <c:pt idx="27">
                  <c:v>14.026796107272544</c:v>
                </c:pt>
                <c:pt idx="28">
                  <c:v>13.859174640584609</c:v>
                </c:pt>
                <c:pt idx="29">
                  <c:v>13.873806512618412</c:v>
                </c:pt>
                <c:pt idx="30">
                  <c:v>13.670338912767997</c:v>
                </c:pt>
                <c:pt idx="31">
                  <c:v>13.903522979258947</c:v>
                </c:pt>
                <c:pt idx="32">
                  <c:v>13.525904248812562</c:v>
                </c:pt>
                <c:pt idx="33">
                  <c:v>13.679967514050789</c:v>
                </c:pt>
                <c:pt idx="34">
                  <c:v>13.871196422125859</c:v>
                </c:pt>
                <c:pt idx="35">
                  <c:v>13.96867105152074</c:v>
                </c:pt>
                <c:pt idx="36">
                  <c:v>14.001272451916995</c:v>
                </c:pt>
                <c:pt idx="37">
                  <c:v>13.944117504883502</c:v>
                </c:pt>
                <c:pt idx="38">
                  <c:v>13.732812314551374</c:v>
                </c:pt>
                <c:pt idx="39">
                  <c:v>13.787912882403951</c:v>
                </c:pt>
                <c:pt idx="40">
                  <c:v>13.937194888061313</c:v>
                </c:pt>
                <c:pt idx="41">
                  <c:v>14.149513207745736</c:v>
                </c:pt>
                <c:pt idx="42">
                  <c:v>13.966627748461997</c:v>
                </c:pt>
                <c:pt idx="43">
                  <c:v>13.787246040931922</c:v>
                </c:pt>
                <c:pt idx="44">
                  <c:v>13.944188860492915</c:v>
                </c:pt>
                <c:pt idx="45">
                  <c:v>14.181647621430404</c:v>
                </c:pt>
                <c:pt idx="46">
                  <c:v>13.894717063841327</c:v>
                </c:pt>
                <c:pt idx="47">
                  <c:v>13.959284868475173</c:v>
                </c:pt>
                <c:pt idx="48">
                  <c:v>13.864119017186491</c:v>
                </c:pt>
                <c:pt idx="49">
                  <c:v>13.89311898298434</c:v>
                </c:pt>
              </c:numCache>
            </c:numRef>
          </c:yVal>
          <c:smooth val="1"/>
          <c:extLst>
            <c:ext xmlns:c16="http://schemas.microsoft.com/office/drawing/2014/chart" uri="{C3380CC4-5D6E-409C-BE32-E72D297353CC}">
              <c16:uniqueId val="{00000000-F249-4B35-8BEA-D453E3731093}"/>
            </c:ext>
          </c:extLst>
        </c:ser>
        <c:dLbls>
          <c:showLegendKey val="0"/>
          <c:showVal val="0"/>
          <c:showCatName val="0"/>
          <c:showSerName val="0"/>
          <c:showPercent val="0"/>
          <c:showBubbleSize val="0"/>
        </c:dLbls>
        <c:axId val="256006079"/>
        <c:axId val="256006559"/>
      </c:scatterChart>
      <c:valAx>
        <c:axId val="256006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06559"/>
        <c:crosses val="autoZero"/>
        <c:crossBetween val="midCat"/>
      </c:valAx>
      <c:valAx>
        <c:axId val="2560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060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28575</xdr:rowOff>
    </xdr:from>
    <xdr:to>
      <xdr:col>1</xdr:col>
      <xdr:colOff>4657725</xdr:colOff>
      <xdr:row>37</xdr:row>
      <xdr:rowOff>66675</xdr:rowOff>
    </xdr:to>
    <xdr:sp macro="" textlink="">
      <xdr:nvSpPr>
        <xdr:cNvPr id="2" name="Text Box 5">
          <a:extLst>
            <a:ext uri="{FF2B5EF4-FFF2-40B4-BE49-F238E27FC236}">
              <a16:creationId xmlns:a16="http://schemas.microsoft.com/office/drawing/2014/main" id="{2147A29A-2F6D-4C7C-B66F-8C103DA335D1}"/>
            </a:ext>
          </a:extLst>
        </xdr:cNvPr>
        <xdr:cNvSpPr txBox="1">
          <a:spLocks noChangeArrowheads="1"/>
        </xdr:cNvSpPr>
      </xdr:nvSpPr>
      <xdr:spPr bwMode="auto">
        <a:xfrm>
          <a:off x="0" y="1552575"/>
          <a:ext cx="5505450" cy="471487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Estimating temperature trends from short, noisy time series</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The goal of this exercise is to understand the uncertainties associated with estimating trends associated with noisy time series, especially over a short time period. To do this, we use a random number generator to generate synthetic (or artificial) time series which have the same statistical properties as the natural time series of global-mean temperature.</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Tasks:</a:t>
          </a:r>
        </a:p>
        <a:p>
          <a:pPr algn="l" rtl="0">
            <a:defRPr sz="1000"/>
          </a:pPr>
          <a:r>
            <a:rPr lang="en-US" sz="1200" b="0" i="1" u="none" strike="noStrike" baseline="0">
              <a:solidFill>
                <a:srgbClr val="000000"/>
              </a:solidFill>
              <a:latin typeface="Arial"/>
              <a:cs typeface="Arial"/>
            </a:rPr>
            <a:t>1. Generate synthetic time series</a:t>
          </a:r>
        </a:p>
        <a:p>
          <a:pPr algn="l" rtl="0">
            <a:defRPr sz="1000"/>
          </a:pPr>
          <a:r>
            <a:rPr lang="en-US" sz="1200" b="0" i="1" u="none" strike="noStrike" baseline="0">
              <a:solidFill>
                <a:srgbClr val="000000"/>
              </a:solidFill>
              <a:latin typeface="Arial"/>
              <a:cs typeface="Arial"/>
            </a:rPr>
            <a:t>2. Identifying trends in a noisy time series</a:t>
          </a:r>
        </a:p>
        <a:p>
          <a:pPr algn="l" rtl="0">
            <a:defRPr sz="1000"/>
          </a:pPr>
          <a:endParaRPr lang="en-US" sz="1200" b="0" i="1"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The following Sheets are present in this exercise:</a:t>
          </a:r>
          <a:endParaRPr lang="en-US" sz="1200" b="0" i="1" u="none" strike="noStrike" baseline="0">
            <a:solidFill>
              <a:srgbClr val="000000"/>
            </a:solidFill>
            <a:latin typeface="Arial"/>
            <a:cs typeface="Arial"/>
          </a:endParaRPr>
        </a:p>
        <a:p>
          <a:pPr algn="l" rtl="0">
            <a:defRPr sz="1000"/>
          </a:pPr>
          <a:r>
            <a:rPr lang="en-US" sz="1200" b="0" i="1" u="none" strike="noStrike" baseline="0">
              <a:solidFill>
                <a:srgbClr val="000000"/>
              </a:solidFill>
              <a:latin typeface="Arial"/>
              <a:cs typeface="Arial"/>
            </a:rPr>
            <a:t>1. [Title]: Introductory sheet</a:t>
          </a:r>
        </a:p>
        <a:p>
          <a:pPr algn="l" rtl="0">
            <a:defRPr sz="1000"/>
          </a:pPr>
          <a:r>
            <a:rPr lang="en-US" sz="1200" b="0" i="1" u="none" strike="noStrike" baseline="0">
              <a:solidFill>
                <a:srgbClr val="000000"/>
              </a:solidFill>
              <a:latin typeface="Arial"/>
              <a:cs typeface="Arial"/>
            </a:rPr>
            <a:t>2. [Task1]: Description of Task 1</a:t>
          </a:r>
        </a:p>
        <a:p>
          <a:pPr algn="l" rtl="0">
            <a:defRPr sz="1000"/>
          </a:pPr>
          <a:r>
            <a:rPr lang="en-US" sz="1200" b="0" i="1" u="none" strike="noStrike" baseline="0">
              <a:solidFill>
                <a:srgbClr val="000000"/>
              </a:solidFill>
              <a:latin typeface="Arial"/>
              <a:cs typeface="Arial"/>
            </a:rPr>
            <a:t>3. [Task2]: Description of Task 2</a:t>
          </a:r>
        </a:p>
        <a:p>
          <a:pPr algn="l" rtl="0">
            <a:defRPr sz="1000"/>
          </a:pPr>
          <a:r>
            <a:rPr lang="en-US" sz="1200" b="0" i="1" u="none" strike="noStrike" baseline="0">
              <a:solidFill>
                <a:srgbClr val="000000"/>
              </a:solidFill>
              <a:latin typeface="Arial"/>
              <a:cs typeface="Arial"/>
            </a:rPr>
            <a:t>4. [Global Temperatures]: Global Temperature Data from NASA</a:t>
          </a:r>
        </a:p>
        <a:p>
          <a:pPr algn="l" rtl="0">
            <a:defRPr sz="1000"/>
          </a:pPr>
          <a:r>
            <a:rPr lang="en-US" sz="1200" b="0" i="1" u="none" strike="noStrike" baseline="0">
              <a:solidFill>
                <a:srgbClr val="000000"/>
              </a:solidFill>
              <a:latin typeface="Arial"/>
              <a:cs typeface="Arial"/>
            </a:rPr>
            <a:t>5. [Work]: Blank sheet to hold working data (You may create more sheets as needed)</a:t>
          </a: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1"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4</xdr:row>
      <xdr:rowOff>38100</xdr:rowOff>
    </xdr:from>
    <xdr:to>
      <xdr:col>3</xdr:col>
      <xdr:colOff>685799</xdr:colOff>
      <xdr:row>55</xdr:row>
      <xdr:rowOff>152400</xdr:rowOff>
    </xdr:to>
    <xdr:sp macro="" textlink="">
      <xdr:nvSpPr>
        <xdr:cNvPr id="2" name="Text Box 1">
          <a:extLst>
            <a:ext uri="{FF2B5EF4-FFF2-40B4-BE49-F238E27FC236}">
              <a16:creationId xmlns:a16="http://schemas.microsoft.com/office/drawing/2014/main" id="{D52E039E-4630-41A5-A5E0-3D3F50A10D0C}"/>
            </a:ext>
          </a:extLst>
        </xdr:cNvPr>
        <xdr:cNvSpPr txBox="1">
          <a:spLocks noChangeArrowheads="1"/>
        </xdr:cNvSpPr>
      </xdr:nvSpPr>
      <xdr:spPr bwMode="auto">
        <a:xfrm>
          <a:off x="9524" y="850900"/>
          <a:ext cx="7204075" cy="1047750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In this task, we generate a synthetic time series that has the same statistical properties as the real time series. The worksheet [GlobalTemp] contains annually and globally-averaged surface air temperatures over land from 1880 to 2008, as compiled by NASA. </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1.1</a:t>
          </a:r>
          <a:r>
            <a:rPr lang="en-US" sz="1200" b="0" i="0" u="none" strike="noStrike" baseline="0">
              <a:solidFill>
                <a:srgbClr val="000000"/>
              </a:solidFill>
              <a:latin typeface="Arial"/>
              <a:cs typeface="Arial"/>
            </a:rPr>
            <a:t>: Copy the time series to the </a:t>
          </a:r>
          <a:r>
            <a:rPr lang="en-US" sz="1200" b="0" i="1" u="none" strike="noStrike" baseline="0">
              <a:solidFill>
                <a:srgbClr val="000000"/>
              </a:solidFill>
              <a:latin typeface="Arial"/>
              <a:cs typeface="Arial"/>
            </a:rPr>
            <a:t>Work</a:t>
          </a:r>
          <a:r>
            <a:rPr lang="en-US" sz="1200" b="0" i="0" u="none" strike="noStrike" baseline="0">
              <a:solidFill>
                <a:srgbClr val="000000"/>
              </a:solidFill>
              <a:latin typeface="Arial"/>
              <a:cs typeface="Arial"/>
            </a:rPr>
            <a:t> sheet (</a:t>
          </a:r>
          <a:r>
            <a:rPr lang="en-US" sz="1200" b="1" i="0" u="none" strike="noStrike" baseline="0">
              <a:solidFill>
                <a:srgbClr val="000000"/>
              </a:solidFill>
              <a:latin typeface="Arial"/>
              <a:cs typeface="Arial"/>
            </a:rPr>
            <a:t>or to Column E and F respectively</a:t>
          </a:r>
          <a:r>
            <a:rPr lang="en-US" sz="1200" b="0" i="0" u="none" strike="noStrike" baseline="0">
              <a:solidFill>
                <a:srgbClr val="000000"/>
              </a:solidFill>
              <a:latin typeface="Arial"/>
              <a:cs typeface="Arial"/>
            </a:rPr>
            <a:t>), using the first row for column headers, and plot the global-mean temperature T as a function of year (X-Y scatterplot).</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1.2</a:t>
          </a:r>
          <a:r>
            <a:rPr lang="en-US" sz="1200" b="0" i="0" u="none" strike="noStrike" baseline="0">
              <a:solidFill>
                <a:srgbClr val="000000"/>
              </a:solidFill>
              <a:latin typeface="Arial"/>
              <a:cs typeface="Arial"/>
            </a:rPr>
            <a:t>: In Column C, create the linear trend time series, by computing the slope and intercept of the best-fit straight line to the global temperature time series. Use the header </a:t>
          </a:r>
          <a:r>
            <a:rPr lang="en-US" sz="1200" b="0" i="1" u="none" strike="noStrike" baseline="0">
              <a:solidFill>
                <a:srgbClr val="000000"/>
              </a:solidFill>
              <a:latin typeface="Arial"/>
              <a:cs typeface="Arial"/>
            </a:rPr>
            <a:t>Ttrend</a:t>
          </a:r>
          <a:r>
            <a:rPr lang="en-US" sz="1200" b="0" i="0" u="none" strike="noStrike" baseline="0">
              <a:solidFill>
                <a:srgbClr val="000000"/>
              </a:solidFill>
              <a:latin typeface="Arial"/>
              <a:cs typeface="Arial"/>
            </a:rPr>
            <a:t> for this column. The time-series can be generated using the following formula:</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=E2*SLOPE($F$2:$F$130,$E$2:$E$130) + INTERCEPT($F$2:$F$130,$E$2:$E$130)</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Add this line to the previous plot. You can do that by simply selecting this column, dragging it and dropping it on the plot.</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1.3</a:t>
          </a:r>
          <a:r>
            <a:rPr lang="en-US" sz="1200" b="0" i="0" u="none" strike="noStrike" baseline="0">
              <a:solidFill>
                <a:srgbClr val="000000"/>
              </a:solidFill>
              <a:latin typeface="Arial"/>
              <a:cs typeface="Arial"/>
            </a:rPr>
            <a:t>: Generate a synthetic noise time series in Column H using a random process known as the auto-regressive model. Label this column as </a:t>
          </a:r>
          <a:r>
            <a:rPr lang="en-US" sz="1200" b="0" i="1" u="none" strike="noStrike" baseline="0">
              <a:solidFill>
                <a:srgbClr val="000000"/>
              </a:solidFill>
              <a:latin typeface="Arial"/>
              <a:cs typeface="Arial"/>
            </a:rPr>
            <a:t>Tnoise.</a:t>
          </a:r>
          <a:r>
            <a:rPr lang="en-US" sz="1200" b="0" i="0" u="none" strike="noStrike" baseline="0">
              <a:solidFill>
                <a:srgbClr val="000000"/>
              </a:solidFill>
              <a:latin typeface="Arial"/>
              <a:cs typeface="Arial"/>
            </a:rPr>
            <a:t> You can do this by first entering 0 in cell H2. Then enter the following formula in cell H3, and fill downwards.</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 0.62 * H2 + 0.098*NORMINV(RAND(),0,1)</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The above formula generates a synthetic noise time series with the same standard deviation and other statistical properties as the original, de-trended, time series. The RAND function generates a uniform random number and NORMINV converts it to a gaussian distribution</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1.4</a:t>
          </a:r>
          <a:r>
            <a:rPr lang="en-US" sz="1200" b="0" i="0" u="none" strike="noStrike" baseline="0">
              <a:solidFill>
                <a:srgbClr val="000000"/>
              </a:solidFill>
              <a:latin typeface="Arial"/>
              <a:cs typeface="Arial"/>
            </a:rPr>
            <a:t>: In Column I, add the trend time series from column G to the noise time series from column H. Label this column </a:t>
          </a:r>
          <a:r>
            <a:rPr lang="en-US" sz="1200" b="0" i="1" u="none" strike="noStrike" baseline="0">
              <a:solidFill>
                <a:srgbClr val="000000"/>
              </a:solidFill>
              <a:latin typeface="Arial"/>
              <a:cs typeface="Arial"/>
            </a:rPr>
            <a:t>Tsynth.</a:t>
          </a:r>
          <a:r>
            <a:rPr lang="en-US" sz="1200" b="0" i="0" u="none" strike="noStrike" baseline="0">
              <a:solidFill>
                <a:srgbClr val="000000"/>
              </a:solidFill>
              <a:latin typeface="Arial"/>
              <a:cs typeface="Arial"/>
            </a:rPr>
            <a:t> Add the synthetic time series to the plot created in Step 1.1</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1.5</a:t>
          </a:r>
          <a:r>
            <a:rPr lang="en-US" sz="1200" b="0" i="0" u="none" strike="noStrike" baseline="0">
              <a:solidFill>
                <a:srgbClr val="000000"/>
              </a:solidFill>
              <a:latin typeface="Arial"/>
              <a:cs typeface="Arial"/>
            </a:rPr>
            <a:t>: You may notice that the synthetic time series appears to keep changing. That's because the RAND function used in Step 1.3 re-generates the random numbers each time a formula is changed/added. You can force this re-generation explicitly by typing the key </a:t>
          </a:r>
          <a:r>
            <a:rPr lang="en-US" sz="1200" b="1" i="0" u="none" strike="noStrike" baseline="0">
              <a:solidFill>
                <a:srgbClr val="000000"/>
              </a:solidFill>
              <a:latin typeface="Arial"/>
              <a:cs typeface="Arial"/>
            </a:rPr>
            <a:t>Command-=</a:t>
          </a:r>
          <a:r>
            <a:rPr lang="en-US" sz="1200" b="0" i="0" u="none" strike="noStrike" baseline="0">
              <a:solidFill>
                <a:srgbClr val="000000"/>
              </a:solidFill>
              <a:latin typeface="Arial"/>
              <a:cs typeface="Arial"/>
            </a:rPr>
            <a:t>. Try doing this a few times. Each time a new realization of the synthetic noise time series is created. Comment on how these synthetic time series compare to the actual time series.</a:t>
          </a:r>
        </a:p>
        <a:p>
          <a:pPr algn="l" rtl="0">
            <a:defRPr sz="1000"/>
          </a:pPr>
          <a:r>
            <a:rPr lang="en-US" sz="1200" b="1" i="0" u="none" strike="noStrike" baseline="0">
              <a:solidFill>
                <a:srgbClr val="000000"/>
              </a:solidFill>
              <a:latin typeface="Arial"/>
              <a:cs typeface="Arial"/>
            </a:rPr>
            <a:t>COMMENT:</a:t>
          </a:r>
        </a:p>
        <a:p>
          <a:pPr algn="l" rtl="0">
            <a:defRPr sz="1000"/>
          </a:pPr>
          <a:r>
            <a:rPr lang="en-US" sz="1200" b="1" i="0" u="none" strike="noStrike" baseline="0">
              <a:solidFill>
                <a:srgbClr val="000000"/>
              </a:solidFill>
              <a:latin typeface="Arial"/>
              <a:cs typeface="Arial"/>
            </a:rPr>
            <a:t>Synthetic time series is smoother and appears to be more controlled to actual time series, which has more variability.</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1.6</a:t>
          </a:r>
          <a:r>
            <a:rPr lang="en-US" sz="1200" b="0" i="0" u="none" strike="noStrike" baseline="0">
              <a:solidFill>
                <a:srgbClr val="000000"/>
              </a:solidFill>
              <a:latin typeface="Arial"/>
              <a:cs typeface="Arial"/>
            </a:rPr>
            <a:t>: In Column J, add the trend time series to twice the noise noise time series, and label the column </a:t>
          </a:r>
          <a:r>
            <a:rPr lang="en-US" sz="1200" b="0" i="1" u="none" strike="noStrike" baseline="0">
              <a:solidFill>
                <a:srgbClr val="000000"/>
              </a:solidFill>
              <a:latin typeface="Arial"/>
              <a:cs typeface="Arial"/>
            </a:rPr>
            <a:t>TsynthDBL.</a:t>
          </a:r>
          <a:r>
            <a:rPr lang="en-US" sz="1200" b="0" i="0" u="none" strike="noStrike" baseline="0">
              <a:solidFill>
                <a:srgbClr val="000000"/>
              </a:solidFill>
              <a:latin typeface="Arial"/>
              <a:cs typeface="Arial"/>
            </a:rPr>
            <a:t> You can do this by typing the following in cell J2</a:t>
          </a:r>
        </a:p>
        <a:p>
          <a:pPr algn="l" rtl="0">
            <a:defRPr sz="1000"/>
          </a:pPr>
          <a:r>
            <a:rPr lang="en-US" sz="1200" b="0" i="0" u="none" strike="noStrike" baseline="0">
              <a:solidFill>
                <a:srgbClr val="000000"/>
              </a:solidFill>
              <a:latin typeface="Arial"/>
              <a:cs typeface="Arial"/>
            </a:rPr>
            <a:t>=G2+2*H2</a:t>
          </a:r>
        </a:p>
        <a:p>
          <a:pPr algn="l" rtl="0">
            <a:defRPr sz="1000"/>
          </a:pPr>
          <a:r>
            <a:rPr lang="en-US" sz="1200" b="0" i="0" u="none" strike="noStrike" baseline="0">
              <a:solidFill>
                <a:srgbClr val="000000"/>
              </a:solidFill>
              <a:latin typeface="Arial"/>
              <a:cs typeface="Arial"/>
            </a:rPr>
            <a:t>This considers the scenario where the noisy component of global temperature variability is stronger.</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11</xdr:col>
      <xdr:colOff>22999</xdr:colOff>
      <xdr:row>1</xdr:row>
      <xdr:rowOff>826</xdr:rowOff>
    </xdr:from>
    <xdr:to>
      <xdr:col>20</xdr:col>
      <xdr:colOff>203200</xdr:colOff>
      <xdr:row>30</xdr:row>
      <xdr:rowOff>50799</xdr:rowOff>
    </xdr:to>
    <xdr:graphicFrame macro="">
      <xdr:nvGraphicFramePr>
        <xdr:cNvPr id="3" name="Chart 2">
          <a:extLst>
            <a:ext uri="{FF2B5EF4-FFF2-40B4-BE49-F238E27FC236}">
              <a16:creationId xmlns:a16="http://schemas.microsoft.com/office/drawing/2014/main" id="{8C88E782-8B8B-2B06-319B-35988E2F9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152400</xdr:rowOff>
    </xdr:from>
    <xdr:to>
      <xdr:col>5</xdr:col>
      <xdr:colOff>666750</xdr:colOff>
      <xdr:row>15</xdr:row>
      <xdr:rowOff>133350</xdr:rowOff>
    </xdr:to>
    <xdr:sp macro="" textlink="">
      <xdr:nvSpPr>
        <xdr:cNvPr id="2" name="Text Box 1">
          <a:extLst>
            <a:ext uri="{FF2B5EF4-FFF2-40B4-BE49-F238E27FC236}">
              <a16:creationId xmlns:a16="http://schemas.microsoft.com/office/drawing/2014/main" id="{819785D7-65BB-4ECF-BC8F-FB5D3E2B7FC2}"/>
            </a:ext>
          </a:extLst>
        </xdr:cNvPr>
        <xdr:cNvSpPr txBox="1">
          <a:spLocks noChangeArrowheads="1"/>
        </xdr:cNvSpPr>
      </xdr:nvSpPr>
      <xdr:spPr bwMode="auto">
        <a:xfrm>
          <a:off x="0" y="800100"/>
          <a:ext cx="5391150" cy="176212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en-US" sz="1200" b="0" i="0" u="none" strike="noStrike" baseline="0">
              <a:solidFill>
                <a:srgbClr val="000000"/>
              </a:solidFill>
              <a:latin typeface="Arial"/>
              <a:cs typeface="Arial"/>
            </a:rPr>
            <a:t>In this task, we consider how observing period affects our estimate of the trend.</a:t>
          </a:r>
        </a:p>
        <a:p>
          <a:pPr algn="l" rtl="0">
            <a:lnSpc>
              <a:spcPts val="1200"/>
            </a:lnSpc>
            <a:defRPr sz="1000"/>
          </a:pPr>
          <a:endParaRPr lang="en-US" sz="1200" b="0" i="0" u="none" strike="noStrike" baseline="0">
            <a:solidFill>
              <a:srgbClr val="000000"/>
            </a:solidFill>
            <a:latin typeface="Arial"/>
            <a:cs typeface="Arial"/>
          </a:endParaRPr>
        </a:p>
        <a:p>
          <a:pPr algn="l" rtl="0">
            <a:lnSpc>
              <a:spcPts val="1200"/>
            </a:lnSpc>
            <a:defRPr sz="1000"/>
          </a:pPr>
          <a:r>
            <a:rPr lang="en-US" sz="1200" b="1" i="0" u="none" strike="noStrike" baseline="0">
              <a:solidFill>
                <a:srgbClr val="000000"/>
              </a:solidFill>
              <a:latin typeface="Arial"/>
              <a:cs typeface="Arial"/>
            </a:rPr>
            <a:t>Step 2.1</a:t>
          </a:r>
          <a:r>
            <a:rPr lang="en-US" sz="1200" b="0" i="0" u="none" strike="noStrike" baseline="0">
              <a:solidFill>
                <a:srgbClr val="000000"/>
              </a:solidFill>
              <a:latin typeface="Arial"/>
              <a:cs typeface="Arial"/>
            </a:rPr>
            <a:t>: For the time series Tsynth computed in the previous task, compute the trend over the first 10 years. Before you do this, copy the </a:t>
          </a:r>
          <a:r>
            <a:rPr lang="en-US" sz="1200" b="0" i="1" u="none" strike="noStrike" baseline="0">
              <a:solidFill>
                <a:srgbClr val="000000"/>
              </a:solidFill>
              <a:latin typeface="Arial"/>
              <a:cs typeface="Arial"/>
            </a:rPr>
            <a:t>Tsynth</a:t>
          </a:r>
          <a:r>
            <a:rPr lang="en-US" sz="1200" b="0" i="0" u="none" strike="noStrike" baseline="0">
              <a:solidFill>
                <a:srgbClr val="000000"/>
              </a:solidFill>
              <a:latin typeface="Arial"/>
              <a:cs typeface="Arial"/>
            </a:rPr>
            <a:t> data to a new column, called </a:t>
          </a:r>
          <a:r>
            <a:rPr lang="en-US" sz="1200" b="0" i="1" u="none" strike="noStrike" baseline="0">
              <a:solidFill>
                <a:srgbClr val="000000"/>
              </a:solidFill>
              <a:latin typeface="Arial"/>
              <a:cs typeface="Arial"/>
            </a:rPr>
            <a:t>Tsynth1,</a:t>
          </a:r>
          <a:r>
            <a:rPr lang="en-US" sz="1200" b="0" i="0" u="none" strike="noStrike" baseline="0">
              <a:solidFill>
                <a:srgbClr val="000000"/>
              </a:solidFill>
              <a:latin typeface="Arial"/>
              <a:cs typeface="Arial"/>
            </a:rPr>
            <a:t> using the Copy/Paste Special option to paste only the Values (not the formulas). This would prevent the time series from changing randomly every time you type something new. After copying the data, plot the first 10 years of data and fit it to a trend line. Enter the slope value from the fitted trend line in the table below (under </a:t>
          </a:r>
          <a:r>
            <a:rPr lang="en-US" sz="1200" b="0" i="1" u="none" strike="noStrike" baseline="0">
              <a:solidFill>
                <a:srgbClr val="000000"/>
              </a:solidFill>
              <a:latin typeface="Arial"/>
              <a:cs typeface="Arial"/>
            </a:rPr>
            <a:t>Realization 1</a:t>
          </a:r>
          <a:r>
            <a:rPr lang="en-US" sz="1200" b="0" i="0" u="none" strike="noStrike" baseline="0">
              <a:solidFill>
                <a:srgbClr val="000000"/>
              </a:solidFill>
              <a:latin typeface="Arial"/>
              <a:cs typeface="Arial"/>
            </a:rPr>
            <a:t>)</a:t>
          </a:r>
        </a:p>
        <a:p>
          <a:pPr algn="l" rtl="0">
            <a:lnSpc>
              <a:spcPts val="1100"/>
            </a:lnSpc>
            <a:defRPr sz="1000"/>
          </a:pPr>
          <a:endParaRPr lang="en-US" sz="1200" b="0" i="0" u="none" strike="noStrike" baseline="0">
            <a:solidFill>
              <a:srgbClr val="000000"/>
            </a:solidFill>
            <a:latin typeface="Arial"/>
            <a:cs typeface="Arial"/>
          </a:endParaRPr>
        </a:p>
        <a:p>
          <a:pPr algn="l" rtl="0">
            <a:lnSpc>
              <a:spcPts val="1100"/>
            </a:lnSpc>
            <a:defRPr sz="1000"/>
          </a:pP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6</xdr:col>
      <xdr:colOff>900741</xdr:colOff>
      <xdr:row>11</xdr:row>
      <xdr:rowOff>139221</xdr:rowOff>
    </xdr:from>
    <xdr:to>
      <xdr:col>11</xdr:col>
      <xdr:colOff>680289</xdr:colOff>
      <xdr:row>26</xdr:row>
      <xdr:rowOff>8147</xdr:rowOff>
    </xdr:to>
    <xdr:graphicFrame macro="">
      <xdr:nvGraphicFramePr>
        <xdr:cNvPr id="4" name="Chart 3">
          <a:extLst>
            <a:ext uri="{FF2B5EF4-FFF2-40B4-BE49-F238E27FC236}">
              <a16:creationId xmlns:a16="http://schemas.microsoft.com/office/drawing/2014/main" id="{CF89FBB5-45FA-0965-B026-3F5830AB1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641350</xdr:colOff>
      <xdr:row>11</xdr:row>
      <xdr:rowOff>139700</xdr:rowOff>
    </xdr:from>
    <xdr:to>
      <xdr:col>16</xdr:col>
      <xdr:colOff>450850</xdr:colOff>
      <xdr:row>26</xdr:row>
      <xdr:rowOff>25400</xdr:rowOff>
    </xdr:to>
    <xdr:graphicFrame macro="">
      <xdr:nvGraphicFramePr>
        <xdr:cNvPr id="5" name="Chart 4">
          <a:extLst>
            <a:ext uri="{FF2B5EF4-FFF2-40B4-BE49-F238E27FC236}">
              <a16:creationId xmlns:a16="http://schemas.microsoft.com/office/drawing/2014/main" id="{53EF1DD2-6D4F-5B17-B005-4F1055549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488461</xdr:colOff>
      <xdr:row>11</xdr:row>
      <xdr:rowOff>134536</xdr:rowOff>
    </xdr:from>
    <xdr:to>
      <xdr:col>21</xdr:col>
      <xdr:colOff>297054</xdr:colOff>
      <xdr:row>25</xdr:row>
      <xdr:rowOff>97694</xdr:rowOff>
    </xdr:to>
    <xdr:graphicFrame macro="">
      <xdr:nvGraphicFramePr>
        <xdr:cNvPr id="6" name="Chart 5">
          <a:extLst>
            <a:ext uri="{FF2B5EF4-FFF2-40B4-BE49-F238E27FC236}">
              <a16:creationId xmlns:a16="http://schemas.microsoft.com/office/drawing/2014/main" id="{A84107EF-AA1A-C408-196D-2F7E47E6C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304800</xdr:colOff>
      <xdr:row>11</xdr:row>
      <xdr:rowOff>135467</xdr:rowOff>
    </xdr:from>
    <xdr:to>
      <xdr:col>26</xdr:col>
      <xdr:colOff>114301</xdr:colOff>
      <xdr:row>26</xdr:row>
      <xdr:rowOff>8466</xdr:rowOff>
    </xdr:to>
    <xdr:graphicFrame macro="">
      <xdr:nvGraphicFramePr>
        <xdr:cNvPr id="7" name="Chart 6">
          <a:extLst>
            <a:ext uri="{FF2B5EF4-FFF2-40B4-BE49-F238E27FC236}">
              <a16:creationId xmlns:a16="http://schemas.microsoft.com/office/drawing/2014/main" id="{344AF4B1-BAC8-6773-D8E1-68E7DB975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112531</xdr:colOff>
      <xdr:row>11</xdr:row>
      <xdr:rowOff>97243</xdr:rowOff>
    </xdr:from>
    <xdr:to>
      <xdr:col>30</xdr:col>
      <xdr:colOff>873664</xdr:colOff>
      <xdr:row>25</xdr:row>
      <xdr:rowOff>105060</xdr:rowOff>
    </xdr:to>
    <xdr:graphicFrame macro="">
      <xdr:nvGraphicFramePr>
        <xdr:cNvPr id="8" name="Chart 7">
          <a:extLst>
            <a:ext uri="{FF2B5EF4-FFF2-40B4-BE49-F238E27FC236}">
              <a16:creationId xmlns:a16="http://schemas.microsoft.com/office/drawing/2014/main" id="{C5DEB2ED-57AE-3B2D-C4E2-505944899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22</xdr:row>
      <xdr:rowOff>38100</xdr:rowOff>
    </xdr:from>
    <xdr:to>
      <xdr:col>5</xdr:col>
      <xdr:colOff>611909</xdr:colOff>
      <xdr:row>48</xdr:row>
      <xdr:rowOff>0</xdr:rowOff>
    </xdr:to>
    <xdr:sp macro="" textlink="">
      <xdr:nvSpPr>
        <xdr:cNvPr id="3" name="Text Box -1023">
          <a:extLst>
            <a:ext uri="{FF2B5EF4-FFF2-40B4-BE49-F238E27FC236}">
              <a16:creationId xmlns:a16="http://schemas.microsoft.com/office/drawing/2014/main" id="{49A3A230-134B-471F-816A-3B0A538BCDA9}"/>
            </a:ext>
          </a:extLst>
        </xdr:cNvPr>
        <xdr:cNvSpPr txBox="1">
          <a:spLocks noChangeArrowheads="1"/>
        </xdr:cNvSpPr>
      </xdr:nvSpPr>
      <xdr:spPr bwMode="auto">
        <a:xfrm>
          <a:off x="0" y="4356100"/>
          <a:ext cx="6003636" cy="5064991"/>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Step 2.2</a:t>
          </a:r>
          <a:r>
            <a:rPr lang="en-US" sz="1200" b="0" i="0" u="none" strike="noStrike" baseline="0">
              <a:solidFill>
                <a:srgbClr val="000000"/>
              </a:solidFill>
              <a:latin typeface="Arial"/>
              <a:cs typeface="Arial"/>
            </a:rPr>
            <a:t>: Repeat the above for 4 more realization of the synthetic time series, called </a:t>
          </a:r>
          <a:r>
            <a:rPr lang="en-US" sz="1200" b="0" i="1" u="none" strike="noStrike" baseline="0">
              <a:solidFill>
                <a:srgbClr val="000000"/>
              </a:solidFill>
              <a:latin typeface="Arial"/>
              <a:cs typeface="Arial"/>
            </a:rPr>
            <a:t>Tsynth2,</a:t>
          </a:r>
          <a:r>
            <a:rPr lang="en-US" sz="1200" b="0" i="0" u="none" strike="noStrike" baseline="0">
              <a:solidFill>
                <a:srgbClr val="000000"/>
              </a:solidFill>
              <a:latin typeface="Arial"/>
              <a:cs typeface="Arial"/>
            </a:rPr>
            <a:t>  </a:t>
          </a:r>
          <a:r>
            <a:rPr lang="en-US" sz="1200" b="0" i="1" u="none" strike="noStrike" baseline="0">
              <a:solidFill>
                <a:srgbClr val="000000"/>
              </a:solidFill>
              <a:latin typeface="Arial"/>
              <a:cs typeface="Arial"/>
            </a:rPr>
            <a:t>Tsynth3,Tsynth4,</a:t>
          </a:r>
          <a:r>
            <a:rPr lang="en-US" sz="1200" b="0" i="0" u="none" strike="noStrike" baseline="0">
              <a:solidFill>
                <a:srgbClr val="000000"/>
              </a:solidFill>
              <a:latin typeface="Arial"/>
              <a:cs typeface="Arial"/>
            </a:rPr>
            <a:t> and </a:t>
          </a:r>
          <a:r>
            <a:rPr lang="en-US" sz="1200" b="0" i="1" u="none" strike="noStrike" baseline="0">
              <a:solidFill>
                <a:srgbClr val="000000"/>
              </a:solidFill>
              <a:latin typeface="Arial"/>
              <a:cs typeface="Arial"/>
            </a:rPr>
            <a:t>Tsynth5.</a:t>
          </a:r>
          <a:r>
            <a:rPr lang="en-US" sz="1200" b="0" i="0" u="none" strike="noStrike" baseline="0">
              <a:solidFill>
                <a:srgbClr val="000000"/>
              </a:solidFill>
              <a:latin typeface="Arial"/>
              <a:cs typeface="Arial"/>
            </a:rPr>
            <a:t> You can generate them by pressing </a:t>
          </a:r>
          <a:r>
            <a:rPr lang="en-US" sz="1200" b="1" i="0" u="none" strike="noStrike" baseline="0">
              <a:solidFill>
                <a:srgbClr val="000000"/>
              </a:solidFill>
              <a:latin typeface="Arial"/>
              <a:cs typeface="Arial"/>
            </a:rPr>
            <a:t>Command-=</a:t>
          </a:r>
          <a:r>
            <a:rPr lang="en-US" sz="1200" b="0" i="0" u="none" strike="noStrike" baseline="0">
              <a:solidFill>
                <a:srgbClr val="000000"/>
              </a:solidFill>
              <a:latin typeface="Arial"/>
              <a:cs typeface="Arial"/>
            </a:rPr>
            <a:t> each time, and then copying the data values (not the formulas) to a new column. Compare the estimated trend values for the different realizations to the original trend of the 100+ years of global temperature time series. You can compute the original trend by using the SLOPE function or fitting a trend line to the plot created in Step 1.1</a:t>
          </a:r>
        </a:p>
        <a:p>
          <a:pPr algn="l" rtl="0">
            <a:defRPr sz="1000"/>
          </a:pPr>
          <a:r>
            <a:rPr lang="en-US" sz="1200" b="0" i="1" u="none" strike="noStrike" baseline="0">
              <a:solidFill>
                <a:srgbClr val="000000"/>
              </a:solidFill>
              <a:latin typeface="Arial"/>
              <a:cs typeface="Arial"/>
            </a:rPr>
            <a:t>Comment on how using a shorter time interval affects the estimates of the trend of a time series.</a:t>
          </a: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COMMENTS: </a:t>
          </a:r>
          <a:r>
            <a:rPr lang="en-US" sz="1200" b="1" i="0">
              <a:solidFill>
                <a:srgbClr val="000000"/>
              </a:solidFill>
              <a:effectLst/>
              <a:latin typeface="Arial" panose="020B0604020202020204" pitchFamily="34" charset="0"/>
              <a:cs typeface="Arial" panose="020B0604020202020204" pitchFamily="34" charset="0"/>
            </a:rPr>
            <a:t>Using a smaller time interval for a time series makes the trend more sensitive to variations that may occur in the short term,</a:t>
          </a:r>
          <a:r>
            <a:rPr lang="en-US" sz="1200" b="1" i="0" baseline="0">
              <a:solidFill>
                <a:srgbClr val="000000"/>
              </a:solidFill>
              <a:effectLst/>
              <a:latin typeface="Arial" panose="020B0604020202020204" pitchFamily="34" charset="0"/>
              <a:cs typeface="Arial" panose="020B0604020202020204" pitchFamily="34" charset="0"/>
            </a:rPr>
            <a:t> making it harder to see the overall pattern</a:t>
          </a:r>
          <a:r>
            <a:rPr lang="en-US" sz="1200" b="1" i="0">
              <a:solidFill>
                <a:srgbClr val="000000"/>
              </a:solidFill>
              <a:effectLst/>
              <a:latin typeface="Arial" panose="020B0604020202020204" pitchFamily="34" charset="0"/>
              <a:cs typeface="Arial" panose="020B0604020202020204" pitchFamily="34" charset="0"/>
            </a:rPr>
            <a:t>. While this captures more detail, it often increases noise; hence, less reliable trend estimates than when using longer intervals where this noise becomes smoothed out.</a:t>
          </a:r>
          <a:endParaRPr lang="en-US" sz="1200" b="1"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2.3</a:t>
          </a:r>
          <a:r>
            <a:rPr lang="en-US" sz="1200" b="0" i="0" u="none" strike="noStrike" baseline="0">
              <a:solidFill>
                <a:srgbClr val="000000"/>
              </a:solidFill>
              <a:latin typeface="Arial"/>
              <a:cs typeface="Arial"/>
            </a:rPr>
            <a:t>: Repeat the trend estimates using the synthetic time series with double the noise amplitude, </a:t>
          </a:r>
          <a:r>
            <a:rPr lang="en-US" sz="1200" b="0" i="1" u="none" strike="noStrike" baseline="0">
              <a:solidFill>
                <a:srgbClr val="000000"/>
              </a:solidFill>
              <a:latin typeface="Arial"/>
              <a:cs typeface="Arial"/>
            </a:rPr>
            <a:t>TsynthDBL,</a:t>
          </a:r>
          <a:r>
            <a:rPr lang="en-US" sz="1200" b="0" i="0" u="none" strike="noStrike" baseline="0">
              <a:solidFill>
                <a:srgbClr val="000000"/>
              </a:solidFill>
              <a:latin typeface="Arial"/>
              <a:cs typeface="Arial"/>
            </a:rPr>
            <a:t> that was created in Step 1.6, and enter into the table. </a:t>
          </a:r>
          <a:r>
            <a:rPr lang="en-US" sz="1200" b="0" i="1" u="none" strike="noStrike" baseline="0">
              <a:solidFill>
                <a:srgbClr val="000000"/>
              </a:solidFill>
              <a:latin typeface="Arial"/>
              <a:cs typeface="Arial"/>
            </a:rPr>
            <a:t>Comment on how a higher amplitude of noise affects the trend estimates.</a:t>
          </a: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COMMENTS: A higher amplitude of noise reduces the clarity of a trend, making a smaller slope. More noise = less pattern estimation</a:t>
          </a:r>
          <a:endParaRPr lang="en-US" sz="1200" b="0" i="1"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1" i="0" baseline="0">
              <a:effectLst/>
              <a:latin typeface="Arial" panose="020B0604020202020204" pitchFamily="34" charset="0"/>
              <a:ea typeface="+mn-ea"/>
              <a:cs typeface="Arial" panose="020B0604020202020204" pitchFamily="34" charset="0"/>
            </a:rPr>
            <a:t>Step 2.4</a:t>
          </a:r>
          <a:r>
            <a:rPr lang="en-US" sz="1200" b="0" i="0" baseline="0">
              <a:effectLst/>
              <a:latin typeface="Arial" panose="020B0604020202020204" pitchFamily="34" charset="0"/>
              <a:ea typeface="+mn-ea"/>
              <a:cs typeface="Arial" panose="020B0604020202020204" pitchFamily="34" charset="0"/>
            </a:rPr>
            <a:t>: Repeat step 2.1-2.3 but using 50 years of data</a:t>
          </a:r>
          <a:endParaRPr lang="en-US" sz="1200">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1" i="0" baseline="0">
              <a:effectLst/>
              <a:latin typeface="Arial" panose="020B0604020202020204" pitchFamily="34" charset="0"/>
              <a:ea typeface="+mn-ea"/>
              <a:cs typeface="Arial" panose="020B0604020202020204" pitchFamily="34" charset="0"/>
            </a:rPr>
            <a:t>COMMENTS:</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1" i="0" baseline="0">
              <a:effectLst/>
              <a:latin typeface="Arial" panose="020B0604020202020204" pitchFamily="34" charset="0"/>
              <a:ea typeface="+mn-ea"/>
              <a:cs typeface="Arial" panose="020B0604020202020204" pitchFamily="34" charset="0"/>
            </a:rPr>
            <a:t>Smoother lines and more stable trend compared to shorter intervals. </a:t>
          </a:r>
          <a:endParaRPr lang="en-US" sz="1200" b="1">
            <a:effectLst/>
            <a:latin typeface="Arial" panose="020B0604020202020204" pitchFamily="34" charset="0"/>
            <a:cs typeface="Arial" panose="020B0604020202020204" pitchFamily="34" charset="0"/>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6</xdr:col>
      <xdr:colOff>863600</xdr:colOff>
      <xdr:row>25</xdr:row>
      <xdr:rowOff>177800</xdr:rowOff>
    </xdr:from>
    <xdr:to>
      <xdr:col>11</xdr:col>
      <xdr:colOff>673100</xdr:colOff>
      <xdr:row>40</xdr:row>
      <xdr:rowOff>50800</xdr:rowOff>
    </xdr:to>
    <xdr:graphicFrame macro="">
      <xdr:nvGraphicFramePr>
        <xdr:cNvPr id="9" name="Chart 8">
          <a:extLst>
            <a:ext uri="{FF2B5EF4-FFF2-40B4-BE49-F238E27FC236}">
              <a16:creationId xmlns:a16="http://schemas.microsoft.com/office/drawing/2014/main" id="{F5D3021C-9326-30F7-E169-AD63822FA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644338</xdr:colOff>
      <xdr:row>26</xdr:row>
      <xdr:rowOff>12326</xdr:rowOff>
    </xdr:from>
    <xdr:to>
      <xdr:col>16</xdr:col>
      <xdr:colOff>459441</xdr:colOff>
      <xdr:row>40</xdr:row>
      <xdr:rowOff>88526</xdr:rowOff>
    </xdr:to>
    <xdr:graphicFrame macro="">
      <xdr:nvGraphicFramePr>
        <xdr:cNvPr id="10" name="Chart 9">
          <a:extLst>
            <a:ext uri="{FF2B5EF4-FFF2-40B4-BE49-F238E27FC236}">
              <a16:creationId xmlns:a16="http://schemas.microsoft.com/office/drawing/2014/main" id="{BE330D13-B376-1563-EF5E-C5DED2443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425822</xdr:colOff>
      <xdr:row>25</xdr:row>
      <xdr:rowOff>146796</xdr:rowOff>
    </xdr:from>
    <xdr:to>
      <xdr:col>22</xdr:col>
      <xdr:colOff>22411</xdr:colOff>
      <xdr:row>40</xdr:row>
      <xdr:rowOff>32496</xdr:rowOff>
    </xdr:to>
    <xdr:graphicFrame macro="">
      <xdr:nvGraphicFramePr>
        <xdr:cNvPr id="11" name="Chart 10">
          <a:extLst>
            <a:ext uri="{FF2B5EF4-FFF2-40B4-BE49-F238E27FC236}">
              <a16:creationId xmlns:a16="http://schemas.microsoft.com/office/drawing/2014/main" id="{3B21C28D-A350-FF91-C6AC-E804F57A3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40821</xdr:colOff>
      <xdr:row>25</xdr:row>
      <xdr:rowOff>97971</xdr:rowOff>
    </xdr:from>
    <xdr:to>
      <xdr:col>27</xdr:col>
      <xdr:colOff>462643</xdr:colOff>
      <xdr:row>39</xdr:row>
      <xdr:rowOff>174171</xdr:rowOff>
    </xdr:to>
    <xdr:graphicFrame macro="">
      <xdr:nvGraphicFramePr>
        <xdr:cNvPr id="12" name="Chart 11">
          <a:extLst>
            <a:ext uri="{FF2B5EF4-FFF2-40B4-BE49-F238E27FC236}">
              <a16:creationId xmlns:a16="http://schemas.microsoft.com/office/drawing/2014/main" id="{063D5113-3308-6676-908F-831BC837E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449035</xdr:colOff>
      <xdr:row>25</xdr:row>
      <xdr:rowOff>70757</xdr:rowOff>
    </xdr:from>
    <xdr:to>
      <xdr:col>33</xdr:col>
      <xdr:colOff>40820</xdr:colOff>
      <xdr:row>39</xdr:row>
      <xdr:rowOff>146957</xdr:rowOff>
    </xdr:to>
    <xdr:graphicFrame macro="">
      <xdr:nvGraphicFramePr>
        <xdr:cNvPr id="13" name="Chart 12">
          <a:extLst>
            <a:ext uri="{FF2B5EF4-FFF2-40B4-BE49-F238E27FC236}">
              <a16:creationId xmlns:a16="http://schemas.microsoft.com/office/drawing/2014/main" id="{81C359FB-891A-29D8-67A6-0FD61CE9F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8658</xdr:colOff>
      <xdr:row>105</xdr:row>
      <xdr:rowOff>48491</xdr:rowOff>
    </xdr:from>
    <xdr:to>
      <xdr:col>12</xdr:col>
      <xdr:colOff>424294</xdr:colOff>
      <xdr:row>119</xdr:row>
      <xdr:rowOff>124691</xdr:rowOff>
    </xdr:to>
    <xdr:graphicFrame macro="">
      <xdr:nvGraphicFramePr>
        <xdr:cNvPr id="14" name="Chart 13">
          <a:extLst>
            <a:ext uri="{FF2B5EF4-FFF2-40B4-BE49-F238E27FC236}">
              <a16:creationId xmlns:a16="http://schemas.microsoft.com/office/drawing/2014/main" id="{C4851296-7983-9162-B8F9-02781CF4C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8658</xdr:colOff>
      <xdr:row>119</xdr:row>
      <xdr:rowOff>152400</xdr:rowOff>
    </xdr:from>
    <xdr:to>
      <xdr:col>12</xdr:col>
      <xdr:colOff>424294</xdr:colOff>
      <xdr:row>134</xdr:row>
      <xdr:rowOff>38100</xdr:rowOff>
    </xdr:to>
    <xdr:graphicFrame macro="">
      <xdr:nvGraphicFramePr>
        <xdr:cNvPr id="15" name="Chart 14">
          <a:extLst>
            <a:ext uri="{FF2B5EF4-FFF2-40B4-BE49-F238E27FC236}">
              <a16:creationId xmlns:a16="http://schemas.microsoft.com/office/drawing/2014/main" id="{D1CC8583-E2EB-BA6D-7A0E-948097CBF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458931</xdr:colOff>
      <xdr:row>105</xdr:row>
      <xdr:rowOff>65809</xdr:rowOff>
    </xdr:from>
    <xdr:to>
      <xdr:col>18</xdr:col>
      <xdr:colOff>43295</xdr:colOff>
      <xdr:row>119</xdr:row>
      <xdr:rowOff>142009</xdr:rowOff>
    </xdr:to>
    <xdr:graphicFrame macro="">
      <xdr:nvGraphicFramePr>
        <xdr:cNvPr id="16" name="Chart 15">
          <a:extLst>
            <a:ext uri="{FF2B5EF4-FFF2-40B4-BE49-F238E27FC236}">
              <a16:creationId xmlns:a16="http://schemas.microsoft.com/office/drawing/2014/main" id="{B620E2E7-698D-1523-F0EF-AC934EEA2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458931</xdr:colOff>
      <xdr:row>120</xdr:row>
      <xdr:rowOff>13855</xdr:rowOff>
    </xdr:from>
    <xdr:to>
      <xdr:col>18</xdr:col>
      <xdr:colOff>43295</xdr:colOff>
      <xdr:row>134</xdr:row>
      <xdr:rowOff>90055</xdr:rowOff>
    </xdr:to>
    <xdr:graphicFrame macro="">
      <xdr:nvGraphicFramePr>
        <xdr:cNvPr id="17" name="Chart 16">
          <a:extLst>
            <a:ext uri="{FF2B5EF4-FFF2-40B4-BE49-F238E27FC236}">
              <a16:creationId xmlns:a16="http://schemas.microsoft.com/office/drawing/2014/main" id="{6B11E15C-A3C2-AD17-7A44-95CD13852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25977</xdr:colOff>
      <xdr:row>105</xdr:row>
      <xdr:rowOff>83127</xdr:rowOff>
    </xdr:from>
    <xdr:to>
      <xdr:col>23</xdr:col>
      <xdr:colOff>441613</xdr:colOff>
      <xdr:row>119</xdr:row>
      <xdr:rowOff>159327</xdr:rowOff>
    </xdr:to>
    <xdr:graphicFrame macro="">
      <xdr:nvGraphicFramePr>
        <xdr:cNvPr id="18" name="Chart 17">
          <a:extLst>
            <a:ext uri="{FF2B5EF4-FFF2-40B4-BE49-F238E27FC236}">
              <a16:creationId xmlns:a16="http://schemas.microsoft.com/office/drawing/2014/main" id="{DC101950-6AED-6ED6-289D-200B89538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60613</xdr:colOff>
      <xdr:row>119</xdr:row>
      <xdr:rowOff>187036</xdr:rowOff>
    </xdr:from>
    <xdr:to>
      <xdr:col>23</xdr:col>
      <xdr:colOff>476249</xdr:colOff>
      <xdr:row>134</xdr:row>
      <xdr:rowOff>72736</xdr:rowOff>
    </xdr:to>
    <xdr:graphicFrame macro="">
      <xdr:nvGraphicFramePr>
        <xdr:cNvPr id="19" name="Chart 18">
          <a:extLst>
            <a:ext uri="{FF2B5EF4-FFF2-40B4-BE49-F238E27FC236}">
              <a16:creationId xmlns:a16="http://schemas.microsoft.com/office/drawing/2014/main" id="{E8B621F7-4D5D-326D-2885-DE5D98B0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441613</xdr:colOff>
      <xdr:row>105</xdr:row>
      <xdr:rowOff>65809</xdr:rowOff>
    </xdr:from>
    <xdr:to>
      <xdr:col>29</xdr:col>
      <xdr:colOff>25977</xdr:colOff>
      <xdr:row>119</xdr:row>
      <xdr:rowOff>142009</xdr:rowOff>
    </xdr:to>
    <xdr:graphicFrame macro="">
      <xdr:nvGraphicFramePr>
        <xdr:cNvPr id="20" name="Chart 19">
          <a:extLst>
            <a:ext uri="{FF2B5EF4-FFF2-40B4-BE49-F238E27FC236}">
              <a16:creationId xmlns:a16="http://schemas.microsoft.com/office/drawing/2014/main" id="{020F7E1E-08D2-D410-B2DD-E229EA4F2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510885</xdr:colOff>
      <xdr:row>119</xdr:row>
      <xdr:rowOff>187036</xdr:rowOff>
    </xdr:from>
    <xdr:to>
      <xdr:col>29</xdr:col>
      <xdr:colOff>95249</xdr:colOff>
      <xdr:row>134</xdr:row>
      <xdr:rowOff>72736</xdr:rowOff>
    </xdr:to>
    <xdr:graphicFrame macro="">
      <xdr:nvGraphicFramePr>
        <xdr:cNvPr id="21" name="Chart 20">
          <a:extLst>
            <a:ext uri="{FF2B5EF4-FFF2-40B4-BE49-F238E27FC236}">
              <a16:creationId xmlns:a16="http://schemas.microsoft.com/office/drawing/2014/main" id="{AB746C9A-CFC9-82B5-1769-86B9528D5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25977</xdr:colOff>
      <xdr:row>105</xdr:row>
      <xdr:rowOff>48490</xdr:rowOff>
    </xdr:from>
    <xdr:to>
      <xdr:col>34</xdr:col>
      <xdr:colOff>441613</xdr:colOff>
      <xdr:row>119</xdr:row>
      <xdr:rowOff>124690</xdr:rowOff>
    </xdr:to>
    <xdr:graphicFrame macro="">
      <xdr:nvGraphicFramePr>
        <xdr:cNvPr id="22" name="Chart 21">
          <a:extLst>
            <a:ext uri="{FF2B5EF4-FFF2-40B4-BE49-F238E27FC236}">
              <a16:creationId xmlns:a16="http://schemas.microsoft.com/office/drawing/2014/main" id="{0CB594BA-0103-89C7-9B83-9D283302C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95250</xdr:colOff>
      <xdr:row>119</xdr:row>
      <xdr:rowOff>187037</xdr:rowOff>
    </xdr:from>
    <xdr:to>
      <xdr:col>34</xdr:col>
      <xdr:colOff>510886</xdr:colOff>
      <xdr:row>134</xdr:row>
      <xdr:rowOff>72737</xdr:rowOff>
    </xdr:to>
    <xdr:graphicFrame macro="">
      <xdr:nvGraphicFramePr>
        <xdr:cNvPr id="23" name="Chart 22">
          <a:extLst>
            <a:ext uri="{FF2B5EF4-FFF2-40B4-BE49-F238E27FC236}">
              <a16:creationId xmlns:a16="http://schemas.microsoft.com/office/drawing/2014/main" id="{05BF5E93-3ACA-D6A2-7FF1-0C978535E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ofh-my.sharepoint.com/personal/fanshika_cougarnet_uh_edu/Documents/TA_WORK_SUMMER_2024/Geos210Labs/lab08-predictabilit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ask 1"/>
      <sheetName val="Task 2"/>
      <sheetName val="GlobalTemp"/>
      <sheetName val="Work"/>
      <sheetName val="Parameters"/>
    </sheetNames>
    <sheetDataSet>
      <sheetData sheetId="0">
        <row r="1">
          <cell r="B1" t="str">
            <v>nobody</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2CDB0-D24F-4097-88FF-78AD9A09F606}">
  <dimension ref="A1:D30"/>
  <sheetViews>
    <sheetView zoomScale="91" workbookViewId="0">
      <selection activeCell="B1" sqref="B1"/>
    </sheetView>
  </sheetViews>
  <sheetFormatPr defaultColWidth="12.42578125" defaultRowHeight="15" x14ac:dyDescent="0.25"/>
  <cols>
    <col min="1" max="1" width="12.7109375" customWidth="1"/>
    <col min="2" max="2" width="70.140625" customWidth="1"/>
    <col min="257" max="257" width="12.7109375" customWidth="1"/>
    <col min="258" max="258" width="70.140625" customWidth="1"/>
    <col min="513" max="513" width="12.7109375" customWidth="1"/>
    <col min="514" max="514" width="70.140625" customWidth="1"/>
    <col min="769" max="769" width="12.7109375" customWidth="1"/>
    <col min="770" max="770" width="70.140625" customWidth="1"/>
    <col min="1025" max="1025" width="12.7109375" customWidth="1"/>
    <col min="1026" max="1026" width="70.140625" customWidth="1"/>
    <col min="1281" max="1281" width="12.7109375" customWidth="1"/>
    <col min="1282" max="1282" width="70.140625" customWidth="1"/>
    <col min="1537" max="1537" width="12.7109375" customWidth="1"/>
    <col min="1538" max="1538" width="70.140625" customWidth="1"/>
    <col min="1793" max="1793" width="12.7109375" customWidth="1"/>
    <col min="1794" max="1794" width="70.140625" customWidth="1"/>
    <col min="2049" max="2049" width="12.7109375" customWidth="1"/>
    <col min="2050" max="2050" width="70.140625" customWidth="1"/>
    <col min="2305" max="2305" width="12.7109375" customWidth="1"/>
    <col min="2306" max="2306" width="70.140625" customWidth="1"/>
    <col min="2561" max="2561" width="12.7109375" customWidth="1"/>
    <col min="2562" max="2562" width="70.140625" customWidth="1"/>
    <col min="2817" max="2817" width="12.7109375" customWidth="1"/>
    <col min="2818" max="2818" width="70.140625" customWidth="1"/>
    <col min="3073" max="3073" width="12.7109375" customWidth="1"/>
    <col min="3074" max="3074" width="70.140625" customWidth="1"/>
    <col min="3329" max="3329" width="12.7109375" customWidth="1"/>
    <col min="3330" max="3330" width="70.140625" customWidth="1"/>
    <col min="3585" max="3585" width="12.7109375" customWidth="1"/>
    <col min="3586" max="3586" width="70.140625" customWidth="1"/>
    <col min="3841" max="3841" width="12.7109375" customWidth="1"/>
    <col min="3842" max="3842" width="70.140625" customWidth="1"/>
    <col min="4097" max="4097" width="12.7109375" customWidth="1"/>
    <col min="4098" max="4098" width="70.140625" customWidth="1"/>
    <col min="4353" max="4353" width="12.7109375" customWidth="1"/>
    <col min="4354" max="4354" width="70.140625" customWidth="1"/>
    <col min="4609" max="4609" width="12.7109375" customWidth="1"/>
    <col min="4610" max="4610" width="70.140625" customWidth="1"/>
    <col min="4865" max="4865" width="12.7109375" customWidth="1"/>
    <col min="4866" max="4866" width="70.140625" customWidth="1"/>
    <col min="5121" max="5121" width="12.7109375" customWidth="1"/>
    <col min="5122" max="5122" width="70.140625" customWidth="1"/>
    <col min="5377" max="5377" width="12.7109375" customWidth="1"/>
    <col min="5378" max="5378" width="70.140625" customWidth="1"/>
    <col min="5633" max="5633" width="12.7109375" customWidth="1"/>
    <col min="5634" max="5634" width="70.140625" customWidth="1"/>
    <col min="5889" max="5889" width="12.7109375" customWidth="1"/>
    <col min="5890" max="5890" width="70.140625" customWidth="1"/>
    <col min="6145" max="6145" width="12.7109375" customWidth="1"/>
    <col min="6146" max="6146" width="70.140625" customWidth="1"/>
    <col min="6401" max="6401" width="12.7109375" customWidth="1"/>
    <col min="6402" max="6402" width="70.140625" customWidth="1"/>
    <col min="6657" max="6657" width="12.7109375" customWidth="1"/>
    <col min="6658" max="6658" width="70.140625" customWidth="1"/>
    <col min="6913" max="6913" width="12.7109375" customWidth="1"/>
    <col min="6914" max="6914" width="70.140625" customWidth="1"/>
    <col min="7169" max="7169" width="12.7109375" customWidth="1"/>
    <col min="7170" max="7170" width="70.140625" customWidth="1"/>
    <col min="7425" max="7425" width="12.7109375" customWidth="1"/>
    <col min="7426" max="7426" width="70.140625" customWidth="1"/>
    <col min="7681" max="7681" width="12.7109375" customWidth="1"/>
    <col min="7682" max="7682" width="70.140625" customWidth="1"/>
    <col min="7937" max="7937" width="12.7109375" customWidth="1"/>
    <col min="7938" max="7938" width="70.140625" customWidth="1"/>
    <col min="8193" max="8193" width="12.7109375" customWidth="1"/>
    <col min="8194" max="8194" width="70.140625" customWidth="1"/>
    <col min="8449" max="8449" width="12.7109375" customWidth="1"/>
    <col min="8450" max="8450" width="70.140625" customWidth="1"/>
    <col min="8705" max="8705" width="12.7109375" customWidth="1"/>
    <col min="8706" max="8706" width="70.140625" customWidth="1"/>
    <col min="8961" max="8961" width="12.7109375" customWidth="1"/>
    <col min="8962" max="8962" width="70.140625" customWidth="1"/>
    <col min="9217" max="9217" width="12.7109375" customWidth="1"/>
    <col min="9218" max="9218" width="70.140625" customWidth="1"/>
    <col min="9473" max="9473" width="12.7109375" customWidth="1"/>
    <col min="9474" max="9474" width="70.140625" customWidth="1"/>
    <col min="9729" max="9729" width="12.7109375" customWidth="1"/>
    <col min="9730" max="9730" width="70.140625" customWidth="1"/>
    <col min="9985" max="9985" width="12.7109375" customWidth="1"/>
    <col min="9986" max="9986" width="70.140625" customWidth="1"/>
    <col min="10241" max="10241" width="12.7109375" customWidth="1"/>
    <col min="10242" max="10242" width="70.140625" customWidth="1"/>
    <col min="10497" max="10497" width="12.7109375" customWidth="1"/>
    <col min="10498" max="10498" width="70.140625" customWidth="1"/>
    <col min="10753" max="10753" width="12.7109375" customWidth="1"/>
    <col min="10754" max="10754" width="70.140625" customWidth="1"/>
    <col min="11009" max="11009" width="12.7109375" customWidth="1"/>
    <col min="11010" max="11010" width="70.140625" customWidth="1"/>
    <col min="11265" max="11265" width="12.7109375" customWidth="1"/>
    <col min="11266" max="11266" width="70.140625" customWidth="1"/>
    <col min="11521" max="11521" width="12.7109375" customWidth="1"/>
    <col min="11522" max="11522" width="70.140625" customWidth="1"/>
    <col min="11777" max="11777" width="12.7109375" customWidth="1"/>
    <col min="11778" max="11778" width="70.140625" customWidth="1"/>
    <col min="12033" max="12033" width="12.7109375" customWidth="1"/>
    <col min="12034" max="12034" width="70.140625" customWidth="1"/>
    <col min="12289" max="12289" width="12.7109375" customWidth="1"/>
    <col min="12290" max="12290" width="70.140625" customWidth="1"/>
    <col min="12545" max="12545" width="12.7109375" customWidth="1"/>
    <col min="12546" max="12546" width="70.140625" customWidth="1"/>
    <col min="12801" max="12801" width="12.7109375" customWidth="1"/>
    <col min="12802" max="12802" width="70.140625" customWidth="1"/>
    <col min="13057" max="13057" width="12.7109375" customWidth="1"/>
    <col min="13058" max="13058" width="70.140625" customWidth="1"/>
    <col min="13313" max="13313" width="12.7109375" customWidth="1"/>
    <col min="13314" max="13314" width="70.140625" customWidth="1"/>
    <col min="13569" max="13569" width="12.7109375" customWidth="1"/>
    <col min="13570" max="13570" width="70.140625" customWidth="1"/>
    <col min="13825" max="13825" width="12.7109375" customWidth="1"/>
    <col min="13826" max="13826" width="70.140625" customWidth="1"/>
    <col min="14081" max="14081" width="12.7109375" customWidth="1"/>
    <col min="14082" max="14082" width="70.140625" customWidth="1"/>
    <col min="14337" max="14337" width="12.7109375" customWidth="1"/>
    <col min="14338" max="14338" width="70.140625" customWidth="1"/>
    <col min="14593" max="14593" width="12.7109375" customWidth="1"/>
    <col min="14594" max="14594" width="70.140625" customWidth="1"/>
    <col min="14849" max="14849" width="12.7109375" customWidth="1"/>
    <col min="14850" max="14850" width="70.140625" customWidth="1"/>
    <col min="15105" max="15105" width="12.7109375" customWidth="1"/>
    <col min="15106" max="15106" width="70.140625" customWidth="1"/>
    <col min="15361" max="15361" width="12.7109375" customWidth="1"/>
    <col min="15362" max="15362" width="70.140625" customWidth="1"/>
    <col min="15617" max="15617" width="12.7109375" customWidth="1"/>
    <col min="15618" max="15618" width="70.140625" customWidth="1"/>
    <col min="15873" max="15873" width="12.7109375" customWidth="1"/>
    <col min="15874" max="15874" width="70.140625" customWidth="1"/>
    <col min="16129" max="16129" width="12.7109375" customWidth="1"/>
    <col min="16130" max="16130" width="70.140625" customWidth="1"/>
  </cols>
  <sheetData>
    <row r="1" spans="1:2" x14ac:dyDescent="0.25">
      <c r="A1" s="1" t="s">
        <v>0</v>
      </c>
      <c r="B1" s="1" t="s">
        <v>31</v>
      </c>
    </row>
    <row r="2" spans="1:2" x14ac:dyDescent="0.25">
      <c r="A2" s="1" t="s">
        <v>1</v>
      </c>
      <c r="B2" s="1" t="s">
        <v>2</v>
      </c>
    </row>
    <row r="3" spans="1:2" x14ac:dyDescent="0.25">
      <c r="A3" s="2" t="s">
        <v>3</v>
      </c>
      <c r="B3" s="3"/>
    </row>
    <row r="4" spans="1:2" x14ac:dyDescent="0.25">
      <c r="A4" s="2" t="s">
        <v>4</v>
      </c>
      <c r="B4" s="3"/>
    </row>
    <row r="5" spans="1:2" ht="18" x14ac:dyDescent="0.25">
      <c r="A5" s="4"/>
      <c r="B5" s="4"/>
    </row>
    <row r="6" spans="1:2" x14ac:dyDescent="0.25">
      <c r="A6" s="5"/>
      <c r="B6" s="5"/>
    </row>
    <row r="7" spans="1:2" x14ac:dyDescent="0.25">
      <c r="A7" s="5"/>
      <c r="B7" s="5"/>
    </row>
    <row r="26" spans="2:4" ht="15.75" x14ac:dyDescent="0.25">
      <c r="B26" s="6"/>
      <c r="C26" s="6"/>
      <c r="D26" s="6"/>
    </row>
    <row r="27" spans="2:4" ht="15.75" x14ac:dyDescent="0.25">
      <c r="B27" s="7"/>
      <c r="C27" s="8"/>
      <c r="D27" s="6"/>
    </row>
    <row r="28" spans="2:4" ht="15.75" x14ac:dyDescent="0.25">
      <c r="B28" s="7"/>
      <c r="C28" s="8"/>
      <c r="D28" s="6"/>
    </row>
    <row r="29" spans="2:4" ht="15.75" x14ac:dyDescent="0.25">
      <c r="B29" s="7"/>
      <c r="C29" s="8"/>
      <c r="D29" s="6"/>
    </row>
    <row r="30" spans="2:4" ht="15.75" x14ac:dyDescent="0.25">
      <c r="B30" s="7"/>
      <c r="C30" s="8"/>
      <c r="D30"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065A-8325-47E0-8306-6AD89AEA1B70}">
  <dimension ref="A1:M145"/>
  <sheetViews>
    <sheetView zoomScale="75" zoomScaleNormal="224" workbookViewId="0">
      <selection activeCell="D30" sqref="D30"/>
    </sheetView>
  </sheetViews>
  <sheetFormatPr defaultColWidth="12.42578125" defaultRowHeight="15" x14ac:dyDescent="0.25"/>
  <cols>
    <col min="1" max="1" width="16" customWidth="1"/>
    <col min="2" max="2" width="57" customWidth="1"/>
    <col min="3" max="3" width="12.7109375" customWidth="1"/>
    <col min="4" max="4" width="19.42578125" customWidth="1"/>
    <col min="5" max="5" width="13.28515625" customWidth="1"/>
    <col min="6" max="6" width="19.140625" customWidth="1"/>
    <col min="257" max="257" width="16" customWidth="1"/>
    <col min="258" max="258" width="57" customWidth="1"/>
    <col min="259" max="259" width="12.7109375" customWidth="1"/>
    <col min="513" max="513" width="16" customWidth="1"/>
    <col min="514" max="514" width="57" customWidth="1"/>
    <col min="515" max="515" width="12.7109375" customWidth="1"/>
    <col min="769" max="769" width="16" customWidth="1"/>
    <col min="770" max="770" width="57" customWidth="1"/>
    <col min="771" max="771" width="12.7109375" customWidth="1"/>
    <col min="1025" max="1025" width="16" customWidth="1"/>
    <col min="1026" max="1026" width="57" customWidth="1"/>
    <col min="1027" max="1027" width="12.7109375" customWidth="1"/>
    <col min="1281" max="1281" width="16" customWidth="1"/>
    <col min="1282" max="1282" width="57" customWidth="1"/>
    <col min="1283" max="1283" width="12.7109375" customWidth="1"/>
    <col min="1537" max="1537" width="16" customWidth="1"/>
    <col min="1538" max="1538" width="57" customWidth="1"/>
    <col min="1539" max="1539" width="12.7109375" customWidth="1"/>
    <col min="1793" max="1793" width="16" customWidth="1"/>
    <col min="1794" max="1794" width="57" customWidth="1"/>
    <col min="1795" max="1795" width="12.7109375" customWidth="1"/>
    <col min="2049" max="2049" width="16" customWidth="1"/>
    <col min="2050" max="2050" width="57" customWidth="1"/>
    <col min="2051" max="2051" width="12.7109375" customWidth="1"/>
    <col min="2305" max="2305" width="16" customWidth="1"/>
    <col min="2306" max="2306" width="57" customWidth="1"/>
    <col min="2307" max="2307" width="12.7109375" customWidth="1"/>
    <col min="2561" max="2561" width="16" customWidth="1"/>
    <col min="2562" max="2562" width="57" customWidth="1"/>
    <col min="2563" max="2563" width="12.7109375" customWidth="1"/>
    <col min="2817" max="2817" width="16" customWidth="1"/>
    <col min="2818" max="2818" width="57" customWidth="1"/>
    <col min="2819" max="2819" width="12.7109375" customWidth="1"/>
    <col min="3073" max="3073" width="16" customWidth="1"/>
    <col min="3074" max="3074" width="57" customWidth="1"/>
    <col min="3075" max="3075" width="12.7109375" customWidth="1"/>
    <col min="3329" max="3329" width="16" customWidth="1"/>
    <col min="3330" max="3330" width="57" customWidth="1"/>
    <col min="3331" max="3331" width="12.7109375" customWidth="1"/>
    <col min="3585" max="3585" width="16" customWidth="1"/>
    <col min="3586" max="3586" width="57" customWidth="1"/>
    <col min="3587" max="3587" width="12.7109375" customWidth="1"/>
    <col min="3841" max="3841" width="16" customWidth="1"/>
    <col min="3842" max="3842" width="57" customWidth="1"/>
    <col min="3843" max="3843" width="12.7109375" customWidth="1"/>
    <col min="4097" max="4097" width="16" customWidth="1"/>
    <col min="4098" max="4098" width="57" customWidth="1"/>
    <col min="4099" max="4099" width="12.7109375" customWidth="1"/>
    <col min="4353" max="4353" width="16" customWidth="1"/>
    <col min="4354" max="4354" width="57" customWidth="1"/>
    <col min="4355" max="4355" width="12.7109375" customWidth="1"/>
    <col min="4609" max="4609" width="16" customWidth="1"/>
    <col min="4610" max="4610" width="57" customWidth="1"/>
    <col min="4611" max="4611" width="12.7109375" customWidth="1"/>
    <col min="4865" max="4865" width="16" customWidth="1"/>
    <col min="4866" max="4866" width="57" customWidth="1"/>
    <col min="4867" max="4867" width="12.7109375" customWidth="1"/>
    <col min="5121" max="5121" width="16" customWidth="1"/>
    <col min="5122" max="5122" width="57" customWidth="1"/>
    <col min="5123" max="5123" width="12.7109375" customWidth="1"/>
    <col min="5377" max="5377" width="16" customWidth="1"/>
    <col min="5378" max="5378" width="57" customWidth="1"/>
    <col min="5379" max="5379" width="12.7109375" customWidth="1"/>
    <col min="5633" max="5633" width="16" customWidth="1"/>
    <col min="5634" max="5634" width="57" customWidth="1"/>
    <col min="5635" max="5635" width="12.7109375" customWidth="1"/>
    <col min="5889" max="5889" width="16" customWidth="1"/>
    <col min="5890" max="5890" width="57" customWidth="1"/>
    <col min="5891" max="5891" width="12.7109375" customWidth="1"/>
    <col min="6145" max="6145" width="16" customWidth="1"/>
    <col min="6146" max="6146" width="57" customWidth="1"/>
    <col min="6147" max="6147" width="12.7109375" customWidth="1"/>
    <col min="6401" max="6401" width="16" customWidth="1"/>
    <col min="6402" max="6402" width="57" customWidth="1"/>
    <col min="6403" max="6403" width="12.7109375" customWidth="1"/>
    <col min="6657" max="6657" width="16" customWidth="1"/>
    <col min="6658" max="6658" width="57" customWidth="1"/>
    <col min="6659" max="6659" width="12.7109375" customWidth="1"/>
    <col min="6913" max="6913" width="16" customWidth="1"/>
    <col min="6914" max="6914" width="57" customWidth="1"/>
    <col min="6915" max="6915" width="12.7109375" customWidth="1"/>
    <col min="7169" max="7169" width="16" customWidth="1"/>
    <col min="7170" max="7170" width="57" customWidth="1"/>
    <col min="7171" max="7171" width="12.7109375" customWidth="1"/>
    <col min="7425" max="7425" width="16" customWidth="1"/>
    <col min="7426" max="7426" width="57" customWidth="1"/>
    <col min="7427" max="7427" width="12.7109375" customWidth="1"/>
    <col min="7681" max="7681" width="16" customWidth="1"/>
    <col min="7682" max="7682" width="57" customWidth="1"/>
    <col min="7683" max="7683" width="12.7109375" customWidth="1"/>
    <col min="7937" max="7937" width="16" customWidth="1"/>
    <col min="7938" max="7938" width="57" customWidth="1"/>
    <col min="7939" max="7939" width="12.7109375" customWidth="1"/>
    <col min="8193" max="8193" width="16" customWidth="1"/>
    <col min="8194" max="8194" width="57" customWidth="1"/>
    <col min="8195" max="8195" width="12.7109375" customWidth="1"/>
    <col min="8449" max="8449" width="16" customWidth="1"/>
    <col min="8450" max="8450" width="57" customWidth="1"/>
    <col min="8451" max="8451" width="12.7109375" customWidth="1"/>
    <col min="8705" max="8705" width="16" customWidth="1"/>
    <col min="8706" max="8706" width="57" customWidth="1"/>
    <col min="8707" max="8707" width="12.7109375" customWidth="1"/>
    <col min="8961" max="8961" width="16" customWidth="1"/>
    <col min="8962" max="8962" width="57" customWidth="1"/>
    <col min="8963" max="8963" width="12.7109375" customWidth="1"/>
    <col min="9217" max="9217" width="16" customWidth="1"/>
    <col min="9218" max="9218" width="57" customWidth="1"/>
    <col min="9219" max="9219" width="12.7109375" customWidth="1"/>
    <col min="9473" max="9473" width="16" customWidth="1"/>
    <col min="9474" max="9474" width="57" customWidth="1"/>
    <col min="9475" max="9475" width="12.7109375" customWidth="1"/>
    <col min="9729" max="9729" width="16" customWidth="1"/>
    <col min="9730" max="9730" width="57" customWidth="1"/>
    <col min="9731" max="9731" width="12.7109375" customWidth="1"/>
    <col min="9985" max="9985" width="16" customWidth="1"/>
    <col min="9986" max="9986" width="57" customWidth="1"/>
    <col min="9987" max="9987" width="12.7109375" customWidth="1"/>
    <col min="10241" max="10241" width="16" customWidth="1"/>
    <col min="10242" max="10242" width="57" customWidth="1"/>
    <col min="10243" max="10243" width="12.7109375" customWidth="1"/>
    <col min="10497" max="10497" width="16" customWidth="1"/>
    <col min="10498" max="10498" width="57" customWidth="1"/>
    <col min="10499" max="10499" width="12.7109375" customWidth="1"/>
    <col min="10753" max="10753" width="16" customWidth="1"/>
    <col min="10754" max="10754" width="57" customWidth="1"/>
    <col min="10755" max="10755" width="12.7109375" customWidth="1"/>
    <col min="11009" max="11009" width="16" customWidth="1"/>
    <col min="11010" max="11010" width="57" customWidth="1"/>
    <col min="11011" max="11011" width="12.7109375" customWidth="1"/>
    <col min="11265" max="11265" width="16" customWidth="1"/>
    <col min="11266" max="11266" width="57" customWidth="1"/>
    <col min="11267" max="11267" width="12.7109375" customWidth="1"/>
    <col min="11521" max="11521" width="16" customWidth="1"/>
    <col min="11522" max="11522" width="57" customWidth="1"/>
    <col min="11523" max="11523" width="12.7109375" customWidth="1"/>
    <col min="11777" max="11777" width="16" customWidth="1"/>
    <col min="11778" max="11778" width="57" customWidth="1"/>
    <col min="11779" max="11779" width="12.7109375" customWidth="1"/>
    <col min="12033" max="12033" width="16" customWidth="1"/>
    <col min="12034" max="12034" width="57" customWidth="1"/>
    <col min="12035" max="12035" width="12.7109375" customWidth="1"/>
    <col min="12289" max="12289" width="16" customWidth="1"/>
    <col min="12290" max="12290" width="57" customWidth="1"/>
    <col min="12291" max="12291" width="12.7109375" customWidth="1"/>
    <col min="12545" max="12545" width="16" customWidth="1"/>
    <col min="12546" max="12546" width="57" customWidth="1"/>
    <col min="12547" max="12547" width="12.7109375" customWidth="1"/>
    <col min="12801" max="12801" width="16" customWidth="1"/>
    <col min="12802" max="12802" width="57" customWidth="1"/>
    <col min="12803" max="12803" width="12.7109375" customWidth="1"/>
    <col min="13057" max="13057" width="16" customWidth="1"/>
    <col min="13058" max="13058" width="57" customWidth="1"/>
    <col min="13059" max="13059" width="12.7109375" customWidth="1"/>
    <col min="13313" max="13313" width="16" customWidth="1"/>
    <col min="13314" max="13314" width="57" customWidth="1"/>
    <col min="13315" max="13315" width="12.7109375" customWidth="1"/>
    <col min="13569" max="13569" width="16" customWidth="1"/>
    <col min="13570" max="13570" width="57" customWidth="1"/>
    <col min="13571" max="13571" width="12.7109375" customWidth="1"/>
    <col min="13825" max="13825" width="16" customWidth="1"/>
    <col min="13826" max="13826" width="57" customWidth="1"/>
    <col min="13827" max="13827" width="12.7109375" customWidth="1"/>
    <col min="14081" max="14081" width="16" customWidth="1"/>
    <col min="14082" max="14082" width="57" customWidth="1"/>
    <col min="14083" max="14083" width="12.7109375" customWidth="1"/>
    <col min="14337" max="14337" width="16" customWidth="1"/>
    <col min="14338" max="14338" width="57" customWidth="1"/>
    <col min="14339" max="14339" width="12.7109375" customWidth="1"/>
    <col min="14593" max="14593" width="16" customWidth="1"/>
    <col min="14594" max="14594" width="57" customWidth="1"/>
    <col min="14595" max="14595" width="12.7109375" customWidth="1"/>
    <col min="14849" max="14849" width="16" customWidth="1"/>
    <col min="14850" max="14850" width="57" customWidth="1"/>
    <col min="14851" max="14851" width="12.7109375" customWidth="1"/>
    <col min="15105" max="15105" width="16" customWidth="1"/>
    <col min="15106" max="15106" width="57" customWidth="1"/>
    <col min="15107" max="15107" width="12.7109375" customWidth="1"/>
    <col min="15361" max="15361" width="16" customWidth="1"/>
    <col min="15362" max="15362" width="57" customWidth="1"/>
    <col min="15363" max="15363" width="12.7109375" customWidth="1"/>
    <col min="15617" max="15617" width="16" customWidth="1"/>
    <col min="15618" max="15618" width="57" customWidth="1"/>
    <col min="15619" max="15619" width="12.7109375" customWidth="1"/>
    <col min="15873" max="15873" width="16" customWidth="1"/>
    <col min="15874" max="15874" width="57" customWidth="1"/>
    <col min="15875" max="15875" width="12.7109375" customWidth="1"/>
    <col min="16129" max="16129" width="16" customWidth="1"/>
    <col min="16130" max="16130" width="57" customWidth="1"/>
    <col min="16131" max="16131" width="12.7109375" customWidth="1"/>
  </cols>
  <sheetData>
    <row r="1" spans="1:11" ht="15.75" x14ac:dyDescent="0.25">
      <c r="A1" s="9" t="s">
        <v>0</v>
      </c>
      <c r="B1" s="10"/>
      <c r="E1" s="11" t="s">
        <v>17</v>
      </c>
      <c r="F1" s="11" t="s">
        <v>18</v>
      </c>
      <c r="G1" s="23" t="s">
        <v>32</v>
      </c>
      <c r="H1" s="23" t="s">
        <v>33</v>
      </c>
      <c r="I1" s="23" t="s">
        <v>34</v>
      </c>
      <c r="J1" s="22" t="s">
        <v>16</v>
      </c>
    </row>
    <row r="2" spans="1:11" x14ac:dyDescent="0.25">
      <c r="E2">
        <v>1880</v>
      </c>
      <c r="F2">
        <v>13.75</v>
      </c>
      <c r="G2" s="21">
        <f>E2*SLOPE($F$2:$F$130,$E$2:$E$130) + INTERCEPT($F$2:$F$130,$E$2:$E$130)</f>
        <v>13.616695289206914</v>
      </c>
      <c r="H2" s="21">
        <v>0</v>
      </c>
      <c r="I2">
        <f>G2+H2</f>
        <v>13.616695289206914</v>
      </c>
      <c r="J2" s="21">
        <f>G2+2*H2</f>
        <v>13.616695289206914</v>
      </c>
    </row>
    <row r="3" spans="1:11" x14ac:dyDescent="0.25">
      <c r="A3" s="11" t="s">
        <v>5</v>
      </c>
      <c r="B3" s="11" t="s">
        <v>6</v>
      </c>
      <c r="E3">
        <v>1881</v>
      </c>
      <c r="F3">
        <v>13.81</v>
      </c>
      <c r="G3" s="21">
        <f t="shared" ref="G3:G66" si="0">E3*SLOPE($F$2:$F$130,$E$2:$E$130) + INTERCEPT($F$2:$F$130,$E$2:$E$130)</f>
        <v>13.622334376863444</v>
      </c>
      <c r="H3" s="21">
        <f ca="1" xml:space="preserve"> 0.62 * H2 + 0.098*NORMINV(RAND(),0,1)</f>
        <v>6.3263302073169228E-2</v>
      </c>
      <c r="I3">
        <f t="shared" ref="I3:I66" ca="1" si="1">G3+H3</f>
        <v>13.685597678936613</v>
      </c>
      <c r="J3" s="21">
        <f t="shared" ref="J3:J66" ca="1" si="2">G3+2*H3</f>
        <v>13.748860981009782</v>
      </c>
    </row>
    <row r="4" spans="1:11" x14ac:dyDescent="0.25">
      <c r="B4" s="12"/>
      <c r="E4">
        <v>1882</v>
      </c>
      <c r="F4">
        <v>13.78</v>
      </c>
      <c r="G4" s="21">
        <f t="shared" si="0"/>
        <v>13.627973464519973</v>
      </c>
      <c r="H4" s="21">
        <f t="shared" ref="H4:H67" ca="1" si="3" xml:space="preserve"> 0.62 * H3 + 0.098*NORMINV(RAND(),0,1)</f>
        <v>3.8039628667749389E-2</v>
      </c>
      <c r="I4">
        <f t="shared" ca="1" si="1"/>
        <v>13.666013093187724</v>
      </c>
      <c r="J4" s="21">
        <f t="shared" ca="1" si="2"/>
        <v>13.704052721855472</v>
      </c>
    </row>
    <row r="5" spans="1:11" x14ac:dyDescent="0.25">
      <c r="A5" s="13"/>
      <c r="B5" s="14"/>
      <c r="E5">
        <v>1883</v>
      </c>
      <c r="F5">
        <v>13.77</v>
      </c>
      <c r="G5" s="21">
        <f t="shared" si="0"/>
        <v>13.633612552176503</v>
      </c>
      <c r="H5" s="21">
        <f t="shared" ca="1" si="3"/>
        <v>0.11313700829365822</v>
      </c>
      <c r="I5">
        <f t="shared" ca="1" si="1"/>
        <v>13.74674956047016</v>
      </c>
      <c r="J5" s="21">
        <f t="shared" ca="1" si="2"/>
        <v>13.85988656876382</v>
      </c>
    </row>
    <row r="6" spans="1:11" x14ac:dyDescent="0.25">
      <c r="A6" s="13"/>
      <c r="B6" s="15"/>
      <c r="E6">
        <v>1884</v>
      </c>
      <c r="F6">
        <v>13.7</v>
      </c>
      <c r="G6" s="21">
        <f t="shared" si="0"/>
        <v>13.639251639833033</v>
      </c>
      <c r="H6" s="21">
        <f t="shared" ca="1" si="3"/>
        <v>0.15722484615773991</v>
      </c>
      <c r="I6">
        <f t="shared" ca="1" si="1"/>
        <v>13.796476485990773</v>
      </c>
      <c r="J6" s="21">
        <f t="shared" ca="1" si="2"/>
        <v>13.953701332148512</v>
      </c>
    </row>
    <row r="7" spans="1:11" x14ac:dyDescent="0.25">
      <c r="B7" s="16"/>
      <c r="E7">
        <v>1885</v>
      </c>
      <c r="F7">
        <v>13.69</v>
      </c>
      <c r="G7" s="21">
        <f t="shared" si="0"/>
        <v>13.644890727489562</v>
      </c>
      <c r="H7" s="21">
        <f t="shared" ca="1" si="3"/>
        <v>0.21227817314123376</v>
      </c>
      <c r="I7">
        <f t="shared" ca="1" si="1"/>
        <v>13.857168900630796</v>
      </c>
      <c r="J7" s="21">
        <f t="shared" ca="1" si="2"/>
        <v>14.069447073772029</v>
      </c>
    </row>
    <row r="8" spans="1:11" x14ac:dyDescent="0.25">
      <c r="B8" s="16"/>
      <c r="E8">
        <v>1886</v>
      </c>
      <c r="F8">
        <v>13.75</v>
      </c>
      <c r="G8" s="21">
        <f t="shared" si="0"/>
        <v>13.650529815146092</v>
      </c>
      <c r="H8" s="21">
        <f t="shared" ca="1" si="3"/>
        <v>0.1227150276356552</v>
      </c>
      <c r="I8">
        <f t="shared" ca="1" si="1"/>
        <v>13.773244842781747</v>
      </c>
      <c r="J8" s="21">
        <f t="shared" ca="1" si="2"/>
        <v>13.895959870417402</v>
      </c>
    </row>
    <row r="9" spans="1:11" x14ac:dyDescent="0.25">
      <c r="B9" s="16"/>
      <c r="E9">
        <v>1887</v>
      </c>
      <c r="F9">
        <v>13.65</v>
      </c>
      <c r="G9" s="21">
        <f t="shared" si="0"/>
        <v>13.656168902802621</v>
      </c>
      <c r="H9" s="21">
        <f t="shared" ca="1" si="3"/>
        <v>-2.7741964363087179E-5</v>
      </c>
      <c r="I9">
        <f t="shared" ca="1" si="1"/>
        <v>13.656141160838258</v>
      </c>
      <c r="J9" s="21">
        <f t="shared" ca="1" si="2"/>
        <v>13.656113418873895</v>
      </c>
    </row>
    <row r="10" spans="1:11" x14ac:dyDescent="0.25">
      <c r="B10" s="16"/>
      <c r="E10">
        <v>1888</v>
      </c>
      <c r="F10">
        <v>13.74</v>
      </c>
      <c r="G10" s="21">
        <f t="shared" si="0"/>
        <v>13.661807990459151</v>
      </c>
      <c r="H10" s="21">
        <f t="shared" ca="1" si="3"/>
        <v>-0.17719408946068038</v>
      </c>
      <c r="I10">
        <f t="shared" ca="1" si="1"/>
        <v>13.48461390099847</v>
      </c>
      <c r="J10" s="21">
        <f t="shared" ca="1" si="2"/>
        <v>13.307419811537789</v>
      </c>
    </row>
    <row r="11" spans="1:11" x14ac:dyDescent="0.25">
      <c r="B11" s="17"/>
      <c r="E11">
        <v>1889</v>
      </c>
      <c r="F11">
        <v>13.85</v>
      </c>
      <c r="G11" s="21">
        <f t="shared" si="0"/>
        <v>13.66744707811568</v>
      </c>
      <c r="H11" s="21">
        <f t="shared" ca="1" si="3"/>
        <v>-0.229572941174147</v>
      </c>
      <c r="I11">
        <f t="shared" ca="1" si="1"/>
        <v>13.437874136941533</v>
      </c>
      <c r="J11" s="21">
        <f t="shared" ca="1" si="2"/>
        <v>13.208301195767387</v>
      </c>
    </row>
    <row r="12" spans="1:11" x14ac:dyDescent="0.25">
      <c r="B12" s="17"/>
      <c r="E12">
        <v>1890</v>
      </c>
      <c r="F12">
        <v>13.63</v>
      </c>
      <c r="G12" s="21">
        <f t="shared" si="0"/>
        <v>13.67308616577221</v>
      </c>
      <c r="H12" s="21">
        <f t="shared" ca="1" si="3"/>
        <v>-0.14374470481400109</v>
      </c>
      <c r="I12">
        <f t="shared" ca="1" si="1"/>
        <v>13.529341460958209</v>
      </c>
      <c r="J12" s="21">
        <f t="shared" ca="1" si="2"/>
        <v>13.385596756144208</v>
      </c>
      <c r="K12" t="s">
        <v>35</v>
      </c>
    </row>
    <row r="13" spans="1:11" x14ac:dyDescent="0.25">
      <c r="E13">
        <v>1891</v>
      </c>
      <c r="F13">
        <v>13.72</v>
      </c>
      <c r="G13" s="21">
        <f t="shared" si="0"/>
        <v>13.678725253428739</v>
      </c>
      <c r="H13" s="21">
        <f t="shared" ca="1" si="3"/>
        <v>-4.1280735796275801E-2</v>
      </c>
      <c r="I13">
        <f t="shared" ca="1" si="1"/>
        <v>13.637444517632463</v>
      </c>
      <c r="J13" s="21">
        <f t="shared" ca="1" si="2"/>
        <v>13.596163781836188</v>
      </c>
      <c r="K13" t="s">
        <v>35</v>
      </c>
    </row>
    <row r="14" spans="1:11" x14ac:dyDescent="0.25">
      <c r="E14">
        <v>1892</v>
      </c>
      <c r="F14">
        <v>13.68</v>
      </c>
      <c r="G14" s="21">
        <f t="shared" si="0"/>
        <v>13.684364341085269</v>
      </c>
      <c r="H14" s="21">
        <f t="shared" ca="1" si="3"/>
        <v>0.19356144129885694</v>
      </c>
      <c r="I14">
        <f t="shared" ca="1" si="1"/>
        <v>13.877925782384127</v>
      </c>
      <c r="J14" s="21">
        <f t="shared" ca="1" si="2"/>
        <v>14.071487223682983</v>
      </c>
      <c r="K14" t="s">
        <v>35</v>
      </c>
    </row>
    <row r="15" spans="1:11" x14ac:dyDescent="0.25">
      <c r="E15">
        <v>1893</v>
      </c>
      <c r="F15">
        <v>13.68</v>
      </c>
      <c r="G15" s="21">
        <f t="shared" si="0"/>
        <v>13.690003428741798</v>
      </c>
      <c r="H15" s="21">
        <f t="shared" ca="1" si="3"/>
        <v>0.23845673752036911</v>
      </c>
      <c r="I15">
        <f t="shared" ca="1" si="1"/>
        <v>13.928460166262168</v>
      </c>
      <c r="J15" s="21">
        <f t="shared" ca="1" si="2"/>
        <v>14.166916903782537</v>
      </c>
      <c r="K15" t="s">
        <v>35</v>
      </c>
    </row>
    <row r="16" spans="1:11" x14ac:dyDescent="0.25">
      <c r="E16">
        <v>1894</v>
      </c>
      <c r="F16">
        <v>13.67</v>
      </c>
      <c r="G16" s="21">
        <f t="shared" si="0"/>
        <v>13.695642516398328</v>
      </c>
      <c r="H16" s="21">
        <f t="shared" ca="1" si="3"/>
        <v>6.985143637440025E-2</v>
      </c>
      <c r="I16">
        <f t="shared" ca="1" si="1"/>
        <v>13.765493952772728</v>
      </c>
      <c r="J16" s="21">
        <f t="shared" ca="1" si="2"/>
        <v>13.835345389147129</v>
      </c>
      <c r="K16" t="s">
        <v>35</v>
      </c>
    </row>
    <row r="17" spans="5:13" x14ac:dyDescent="0.25">
      <c r="E17">
        <v>1895</v>
      </c>
      <c r="F17">
        <v>13.73</v>
      </c>
      <c r="G17" s="21">
        <f t="shared" si="0"/>
        <v>13.701281604054858</v>
      </c>
      <c r="H17" s="21">
        <f t="shared" ca="1" si="3"/>
        <v>5.4394575897392702E-2</v>
      </c>
      <c r="I17">
        <f t="shared" ca="1" si="1"/>
        <v>13.75567617995225</v>
      </c>
      <c r="J17" s="21">
        <f t="shared" ca="1" si="2"/>
        <v>13.810070755849642</v>
      </c>
      <c r="K17" t="s">
        <v>35</v>
      </c>
    </row>
    <row r="18" spans="5:13" x14ac:dyDescent="0.25">
      <c r="E18">
        <v>1896</v>
      </c>
      <c r="F18">
        <v>13.83</v>
      </c>
      <c r="G18" s="21">
        <f t="shared" si="0"/>
        <v>13.706920691711387</v>
      </c>
      <c r="H18" s="21">
        <f t="shared" ca="1" si="3"/>
        <v>-9.2554226636001949E-3</v>
      </c>
      <c r="I18">
        <f t="shared" ca="1" si="1"/>
        <v>13.697665269047787</v>
      </c>
      <c r="J18" s="21">
        <f t="shared" ca="1" si="2"/>
        <v>13.688409846384186</v>
      </c>
      <c r="K18" t="s">
        <v>35</v>
      </c>
    </row>
    <row r="19" spans="5:13" ht="15.75" x14ac:dyDescent="0.25">
      <c r="E19">
        <v>1897</v>
      </c>
      <c r="F19">
        <v>13.88</v>
      </c>
      <c r="G19" s="21">
        <f t="shared" si="0"/>
        <v>13.712559779367917</v>
      </c>
      <c r="H19" s="21">
        <f t="shared" ca="1" si="3"/>
        <v>0.1234364396945946</v>
      </c>
      <c r="I19">
        <f t="shared" ca="1" si="1"/>
        <v>13.835996219062512</v>
      </c>
      <c r="J19" s="21">
        <f t="shared" ca="1" si="2"/>
        <v>13.959432658757105</v>
      </c>
      <c r="K19" t="s">
        <v>35</v>
      </c>
      <c r="L19" s="22"/>
      <c r="M19" s="22"/>
    </row>
    <row r="20" spans="5:13" x14ac:dyDescent="0.25">
      <c r="E20">
        <v>1898</v>
      </c>
      <c r="F20">
        <v>13.76</v>
      </c>
      <c r="G20" s="21">
        <f t="shared" si="0"/>
        <v>13.718198867024446</v>
      </c>
      <c r="H20" s="21">
        <f t="shared" ca="1" si="3"/>
        <v>-3.5338592107383993E-3</v>
      </c>
      <c r="I20">
        <f t="shared" ca="1" si="1"/>
        <v>13.714665007813707</v>
      </c>
      <c r="J20" s="21">
        <f t="shared" ca="1" si="2"/>
        <v>13.71113114860297</v>
      </c>
      <c r="K20" t="s">
        <v>35</v>
      </c>
    </row>
    <row r="21" spans="5:13" ht="15.75" x14ac:dyDescent="0.25">
      <c r="E21">
        <v>1899</v>
      </c>
      <c r="F21">
        <v>13.83</v>
      </c>
      <c r="G21" s="21">
        <f t="shared" si="0"/>
        <v>13.723837954680976</v>
      </c>
      <c r="H21" s="21">
        <f t="shared" ca="1" si="3"/>
        <v>3.5984977879877499E-2</v>
      </c>
      <c r="I21">
        <f t="shared" ca="1" si="1"/>
        <v>13.759822932560853</v>
      </c>
      <c r="J21" s="21">
        <f t="shared" ca="1" si="2"/>
        <v>13.795807910440731</v>
      </c>
      <c r="K21" t="s">
        <v>35</v>
      </c>
      <c r="L21" s="22"/>
      <c r="M21" s="22"/>
    </row>
    <row r="22" spans="5:13" x14ac:dyDescent="0.25">
      <c r="E22">
        <v>1900</v>
      </c>
      <c r="F22">
        <v>13.9</v>
      </c>
      <c r="G22" s="21">
        <f t="shared" si="0"/>
        <v>13.729477042337505</v>
      </c>
      <c r="H22" s="21">
        <f t="shared" ca="1" si="3"/>
        <v>-0.11129602353848334</v>
      </c>
      <c r="I22">
        <f t="shared" ca="1" si="1"/>
        <v>13.618181018799023</v>
      </c>
      <c r="J22" s="21">
        <f t="shared" ca="1" si="2"/>
        <v>13.506884995260538</v>
      </c>
      <c r="K22" t="s">
        <v>35</v>
      </c>
    </row>
    <row r="23" spans="5:13" ht="15.75" x14ac:dyDescent="0.25">
      <c r="E23">
        <v>1901</v>
      </c>
      <c r="F23">
        <v>13.84</v>
      </c>
      <c r="G23" s="21">
        <f t="shared" si="0"/>
        <v>13.735116129994035</v>
      </c>
      <c r="H23" s="21">
        <f t="shared" ca="1" si="3"/>
        <v>-5.1400643461125391E-2</v>
      </c>
      <c r="I23">
        <f t="shared" ca="1" si="1"/>
        <v>13.683715486532909</v>
      </c>
      <c r="J23" s="21">
        <f t="shared" ca="1" si="2"/>
        <v>13.632314843071784</v>
      </c>
      <c r="K23" t="s">
        <v>35</v>
      </c>
      <c r="L23" s="22"/>
      <c r="M23" s="22"/>
    </row>
    <row r="24" spans="5:13" x14ac:dyDescent="0.25">
      <c r="E24">
        <v>1902</v>
      </c>
      <c r="F24">
        <v>13.73</v>
      </c>
      <c r="G24" s="21">
        <f t="shared" si="0"/>
        <v>13.740755217650564</v>
      </c>
      <c r="H24" s="21">
        <f t="shared" ca="1" si="3"/>
        <v>-8.5108511927771233E-2</v>
      </c>
      <c r="I24">
        <f t="shared" ca="1" si="1"/>
        <v>13.655646705722793</v>
      </c>
      <c r="J24" s="21">
        <f t="shared" ca="1" si="2"/>
        <v>13.570538193795022</v>
      </c>
      <c r="K24" t="s">
        <v>35</v>
      </c>
    </row>
    <row r="25" spans="5:13" x14ac:dyDescent="0.25">
      <c r="E25">
        <v>1903</v>
      </c>
      <c r="F25">
        <v>13.69</v>
      </c>
      <c r="G25" s="21">
        <f t="shared" si="0"/>
        <v>13.746394305307094</v>
      </c>
      <c r="H25" s="21">
        <f t="shared" ca="1" si="3"/>
        <v>-6.5296262861380544E-3</v>
      </c>
      <c r="I25">
        <f t="shared" ca="1" si="1"/>
        <v>13.739864679020956</v>
      </c>
      <c r="J25" s="21">
        <f t="shared" ca="1" si="2"/>
        <v>13.733335052734818</v>
      </c>
    </row>
    <row r="26" spans="5:13" x14ac:dyDescent="0.25">
      <c r="E26">
        <v>1904</v>
      </c>
      <c r="F26">
        <v>13.66</v>
      </c>
      <c r="G26" s="21">
        <f t="shared" si="0"/>
        <v>13.752033392963623</v>
      </c>
      <c r="H26" s="21">
        <f t="shared" ca="1" si="3"/>
        <v>-1.9232282326595164E-2</v>
      </c>
      <c r="I26">
        <f t="shared" ca="1" si="1"/>
        <v>13.732801110637029</v>
      </c>
      <c r="J26" s="21">
        <f t="shared" ca="1" si="2"/>
        <v>13.713568828310432</v>
      </c>
      <c r="K26" t="s">
        <v>35</v>
      </c>
    </row>
    <row r="27" spans="5:13" x14ac:dyDescent="0.25">
      <c r="E27">
        <v>1905</v>
      </c>
      <c r="F27">
        <v>13.75</v>
      </c>
      <c r="G27" s="21">
        <f t="shared" si="0"/>
        <v>13.757672480620153</v>
      </c>
      <c r="H27" s="21">
        <f t="shared" ca="1" si="3"/>
        <v>-7.3738522566767967E-2</v>
      </c>
      <c r="I27">
        <f t="shared" ca="1" si="1"/>
        <v>13.683933958053386</v>
      </c>
      <c r="J27" s="21">
        <f t="shared" ca="1" si="2"/>
        <v>13.610195435486617</v>
      </c>
    </row>
    <row r="28" spans="5:13" x14ac:dyDescent="0.25">
      <c r="E28">
        <v>1906</v>
      </c>
      <c r="F28">
        <v>13.8</v>
      </c>
      <c r="G28" s="21">
        <f t="shared" si="0"/>
        <v>13.763311568276682</v>
      </c>
      <c r="H28" s="21">
        <f t="shared" ca="1" si="3"/>
        <v>-2.4845837487276364E-2</v>
      </c>
      <c r="I28">
        <f t="shared" ca="1" si="1"/>
        <v>13.738465730789406</v>
      </c>
      <c r="J28" s="21">
        <f t="shared" ca="1" si="2"/>
        <v>13.71361989330213</v>
      </c>
    </row>
    <row r="29" spans="5:13" x14ac:dyDescent="0.25">
      <c r="E29">
        <v>1907</v>
      </c>
      <c r="F29">
        <v>13.61</v>
      </c>
      <c r="G29" s="21">
        <f t="shared" si="0"/>
        <v>13.768950655933212</v>
      </c>
      <c r="H29" s="21">
        <f t="shared" ca="1" si="3"/>
        <v>-0.21271001556254857</v>
      </c>
      <c r="I29">
        <f t="shared" ca="1" si="1"/>
        <v>13.556240640370664</v>
      </c>
      <c r="J29" s="21">
        <f t="shared" ca="1" si="2"/>
        <v>13.343530624808114</v>
      </c>
      <c r="K29">
        <f>1</f>
        <v>1</v>
      </c>
    </row>
    <row r="30" spans="5:13" x14ac:dyDescent="0.25">
      <c r="E30">
        <v>1908</v>
      </c>
      <c r="F30">
        <v>13.66</v>
      </c>
      <c r="G30" s="21">
        <f t="shared" si="0"/>
        <v>13.774589743589742</v>
      </c>
      <c r="H30" s="21">
        <f t="shared" ca="1" si="3"/>
        <v>-0.13003889011369982</v>
      </c>
      <c r="I30">
        <f t="shared" ca="1" si="1"/>
        <v>13.644550853476042</v>
      </c>
      <c r="J30" s="21">
        <f t="shared" ca="1" si="2"/>
        <v>13.514511963362342</v>
      </c>
    </row>
    <row r="31" spans="5:13" x14ac:dyDescent="0.25">
      <c r="E31">
        <v>1909</v>
      </c>
      <c r="F31">
        <v>13.65</v>
      </c>
      <c r="G31" s="21">
        <f t="shared" si="0"/>
        <v>13.780228831246271</v>
      </c>
      <c r="H31" s="21">
        <f t="shared" ca="1" si="3"/>
        <v>-9.2955491635923759E-2</v>
      </c>
      <c r="I31">
        <f t="shared" ca="1" si="1"/>
        <v>13.687273339610348</v>
      </c>
      <c r="J31" s="21">
        <f t="shared" ca="1" si="2"/>
        <v>13.594317847974423</v>
      </c>
    </row>
    <row r="32" spans="5:13" x14ac:dyDescent="0.25">
      <c r="E32">
        <v>1910</v>
      </c>
      <c r="F32">
        <v>13.67</v>
      </c>
      <c r="G32" s="21">
        <f t="shared" si="0"/>
        <v>13.785867918902801</v>
      </c>
      <c r="H32" s="21">
        <f t="shared" ca="1" si="3"/>
        <v>5.6824810884585811E-2</v>
      </c>
      <c r="I32">
        <f t="shared" ca="1" si="1"/>
        <v>13.842692729787386</v>
      </c>
      <c r="J32" s="21">
        <f t="shared" ca="1" si="2"/>
        <v>13.899517540671972</v>
      </c>
    </row>
    <row r="33" spans="5:10" x14ac:dyDescent="0.25">
      <c r="E33">
        <v>1911</v>
      </c>
      <c r="F33">
        <v>13.66</v>
      </c>
      <c r="G33" s="21">
        <f t="shared" si="0"/>
        <v>13.79150700655933</v>
      </c>
      <c r="H33" s="21">
        <f t="shared" ca="1" si="3"/>
        <v>3.3651270903087838E-2</v>
      </c>
      <c r="I33">
        <f t="shared" ca="1" si="1"/>
        <v>13.825158277462418</v>
      </c>
      <c r="J33" s="21">
        <f t="shared" ca="1" si="2"/>
        <v>13.858809548365507</v>
      </c>
    </row>
    <row r="34" spans="5:10" x14ac:dyDescent="0.25">
      <c r="E34">
        <v>1912</v>
      </c>
      <c r="F34">
        <v>13.66</v>
      </c>
      <c r="G34" s="21">
        <f t="shared" si="0"/>
        <v>13.79714609421586</v>
      </c>
      <c r="H34" s="21">
        <f t="shared" ca="1" si="3"/>
        <v>-0.12423380348398781</v>
      </c>
      <c r="I34">
        <f t="shared" ca="1" si="1"/>
        <v>13.672912290731873</v>
      </c>
      <c r="J34" s="21">
        <f t="shared" ca="1" si="2"/>
        <v>13.548678487247884</v>
      </c>
    </row>
    <row r="35" spans="5:10" x14ac:dyDescent="0.25">
      <c r="E35">
        <v>1913</v>
      </c>
      <c r="F35">
        <v>13.68</v>
      </c>
      <c r="G35" s="21">
        <f t="shared" si="0"/>
        <v>13.802785181872389</v>
      </c>
      <c r="H35" s="21">
        <f t="shared" ca="1" si="3"/>
        <v>0.19237882009586121</v>
      </c>
      <c r="I35">
        <f t="shared" ca="1" si="1"/>
        <v>13.99516400196825</v>
      </c>
      <c r="J35" s="21">
        <f t="shared" ca="1" si="2"/>
        <v>14.187542822064112</v>
      </c>
    </row>
    <row r="36" spans="5:10" x14ac:dyDescent="0.25">
      <c r="E36">
        <v>1914</v>
      </c>
      <c r="F36">
        <v>13.85</v>
      </c>
      <c r="G36" s="21">
        <f t="shared" si="0"/>
        <v>13.808424269528919</v>
      </c>
      <c r="H36" s="21">
        <f t="shared" ca="1" si="3"/>
        <v>4.9055864476930514E-2</v>
      </c>
      <c r="I36">
        <f t="shared" ca="1" si="1"/>
        <v>13.857480134005849</v>
      </c>
      <c r="J36" s="21">
        <f t="shared" ca="1" si="2"/>
        <v>13.906535998482779</v>
      </c>
    </row>
    <row r="37" spans="5:10" x14ac:dyDescent="0.25">
      <c r="E37">
        <v>1915</v>
      </c>
      <c r="F37">
        <v>13.91</v>
      </c>
      <c r="G37" s="21">
        <f t="shared" si="0"/>
        <v>13.814063357185448</v>
      </c>
      <c r="H37" s="21">
        <f t="shared" ca="1" si="3"/>
        <v>4.1487426508692235E-3</v>
      </c>
      <c r="I37">
        <f t="shared" ca="1" si="1"/>
        <v>13.818212099836318</v>
      </c>
      <c r="J37" s="21">
        <f t="shared" ca="1" si="2"/>
        <v>13.822360842487187</v>
      </c>
    </row>
    <row r="38" spans="5:10" x14ac:dyDescent="0.25">
      <c r="E38">
        <v>1916</v>
      </c>
      <c r="F38">
        <v>13.69</v>
      </c>
      <c r="G38" s="21">
        <f t="shared" si="0"/>
        <v>13.819702444841978</v>
      </c>
      <c r="H38" s="21">
        <f t="shared" ca="1" si="3"/>
        <v>5.3724753220971082E-2</v>
      </c>
      <c r="I38">
        <f t="shared" ca="1" si="1"/>
        <v>13.873427198062949</v>
      </c>
      <c r="J38" s="21">
        <f t="shared" ca="1" si="2"/>
        <v>13.927151951283919</v>
      </c>
    </row>
    <row r="39" spans="5:10" x14ac:dyDescent="0.25">
      <c r="E39">
        <v>1917</v>
      </c>
      <c r="F39">
        <v>13.6</v>
      </c>
      <c r="G39" s="21">
        <f t="shared" si="0"/>
        <v>13.825341532498507</v>
      </c>
      <c r="H39" s="21">
        <f t="shared" ca="1" si="3"/>
        <v>0.12398405146567504</v>
      </c>
      <c r="I39">
        <f t="shared" ca="1" si="1"/>
        <v>13.949325583964182</v>
      </c>
      <c r="J39" s="21">
        <f t="shared" ca="1" si="2"/>
        <v>14.073309635429858</v>
      </c>
    </row>
    <row r="40" spans="5:10" x14ac:dyDescent="0.25">
      <c r="E40">
        <v>1918</v>
      </c>
      <c r="F40">
        <v>13.68</v>
      </c>
      <c r="G40" s="21">
        <f t="shared" si="0"/>
        <v>13.830980620155037</v>
      </c>
      <c r="H40" s="21">
        <f t="shared" ca="1" si="3"/>
        <v>9.2212904841791482E-3</v>
      </c>
      <c r="I40">
        <f t="shared" ca="1" si="1"/>
        <v>13.840201910639216</v>
      </c>
      <c r="J40" s="21">
        <f t="shared" ca="1" si="2"/>
        <v>13.849423201123395</v>
      </c>
    </row>
    <row r="41" spans="5:10" x14ac:dyDescent="0.25">
      <c r="E41">
        <v>1919</v>
      </c>
      <c r="F41">
        <v>13.79</v>
      </c>
      <c r="G41" s="21">
        <f t="shared" si="0"/>
        <v>13.836619707811566</v>
      </c>
      <c r="H41" s="21">
        <f t="shared" ca="1" si="3"/>
        <v>0.14724848187588307</v>
      </c>
      <c r="I41">
        <f t="shared" ca="1" si="1"/>
        <v>13.983868189687449</v>
      </c>
      <c r="J41" s="21">
        <f t="shared" ca="1" si="2"/>
        <v>14.131116671563333</v>
      </c>
    </row>
    <row r="42" spans="5:10" x14ac:dyDescent="0.25">
      <c r="E42">
        <v>1920</v>
      </c>
      <c r="F42">
        <v>13.81</v>
      </c>
      <c r="G42" s="21">
        <f t="shared" si="0"/>
        <v>13.842258795468096</v>
      </c>
      <c r="H42" s="21">
        <f t="shared" ca="1" si="3"/>
        <v>0.20916571206187917</v>
      </c>
      <c r="I42">
        <f t="shared" ca="1" si="1"/>
        <v>14.051424507529974</v>
      </c>
      <c r="J42" s="21">
        <f t="shared" ca="1" si="2"/>
        <v>14.260590219591855</v>
      </c>
    </row>
    <row r="43" spans="5:10" x14ac:dyDescent="0.25">
      <c r="E43">
        <v>1921</v>
      </c>
      <c r="F43">
        <v>13.87</v>
      </c>
      <c r="G43" s="21">
        <f t="shared" si="0"/>
        <v>13.847897883124626</v>
      </c>
      <c r="H43" s="21">
        <f t="shared" ca="1" si="3"/>
        <v>6.7052084035149381E-2</v>
      </c>
      <c r="I43">
        <f t="shared" ca="1" si="1"/>
        <v>13.914949967159775</v>
      </c>
      <c r="J43" s="21">
        <f t="shared" ca="1" si="2"/>
        <v>13.982002051194923</v>
      </c>
    </row>
    <row r="44" spans="5:10" x14ac:dyDescent="0.25">
      <c r="E44">
        <v>1922</v>
      </c>
      <c r="F44">
        <v>13.76</v>
      </c>
      <c r="G44" s="21">
        <f t="shared" si="0"/>
        <v>13.853536970781155</v>
      </c>
      <c r="H44" s="21">
        <f t="shared" ca="1" si="3"/>
        <v>0.25868815882289309</v>
      </c>
      <c r="I44">
        <f t="shared" ca="1" si="1"/>
        <v>14.112225129604049</v>
      </c>
      <c r="J44" s="21">
        <f t="shared" ca="1" si="2"/>
        <v>14.370913288426941</v>
      </c>
    </row>
    <row r="45" spans="5:10" x14ac:dyDescent="0.25">
      <c r="E45">
        <v>1923</v>
      </c>
      <c r="F45">
        <v>13.8</v>
      </c>
      <c r="G45" s="21">
        <f t="shared" si="0"/>
        <v>13.859176058437685</v>
      </c>
      <c r="H45" s="21">
        <f t="shared" ca="1" si="3"/>
        <v>0.24628330079855765</v>
      </c>
      <c r="I45">
        <f t="shared" ca="1" si="1"/>
        <v>14.105459359236242</v>
      </c>
      <c r="J45" s="21">
        <f t="shared" ca="1" si="2"/>
        <v>14.3517426600348</v>
      </c>
    </row>
    <row r="46" spans="5:10" x14ac:dyDescent="0.25">
      <c r="E46">
        <v>1924</v>
      </c>
      <c r="F46">
        <v>13.79</v>
      </c>
      <c r="G46" s="21">
        <f t="shared" si="0"/>
        <v>13.864815146094214</v>
      </c>
      <c r="H46" s="21">
        <f t="shared" ca="1" si="3"/>
        <v>7.3073228693794429E-2</v>
      </c>
      <c r="I46">
        <f t="shared" ca="1" si="1"/>
        <v>13.937888374788008</v>
      </c>
      <c r="J46" s="21">
        <f t="shared" ca="1" si="2"/>
        <v>14.010961603481803</v>
      </c>
    </row>
    <row r="47" spans="5:10" x14ac:dyDescent="0.25">
      <c r="E47">
        <v>1925</v>
      </c>
      <c r="F47">
        <v>13.84</v>
      </c>
      <c r="G47" s="21">
        <f t="shared" si="0"/>
        <v>13.870454233750744</v>
      </c>
      <c r="H47" s="21">
        <f t="shared" ca="1" si="3"/>
        <v>9.8901764920856727E-2</v>
      </c>
      <c r="I47">
        <f t="shared" ca="1" si="1"/>
        <v>13.969355998671601</v>
      </c>
      <c r="J47" s="21">
        <f t="shared" ca="1" si="2"/>
        <v>14.068257763592458</v>
      </c>
    </row>
    <row r="48" spans="5:10" x14ac:dyDescent="0.25">
      <c r="E48">
        <v>1926</v>
      </c>
      <c r="F48">
        <v>13.99</v>
      </c>
      <c r="G48" s="21">
        <f t="shared" si="0"/>
        <v>13.876093321407271</v>
      </c>
      <c r="H48" s="21">
        <f t="shared" ca="1" si="3"/>
        <v>0.16136261043801442</v>
      </c>
      <c r="I48">
        <f t="shared" ca="1" si="1"/>
        <v>14.037455931845287</v>
      </c>
      <c r="J48" s="21">
        <f t="shared" ca="1" si="2"/>
        <v>14.1988185422833</v>
      </c>
    </row>
    <row r="49" spans="5:10" x14ac:dyDescent="0.25">
      <c r="E49">
        <v>1927</v>
      </c>
      <c r="F49">
        <v>13.87</v>
      </c>
      <c r="G49" s="21">
        <f t="shared" si="0"/>
        <v>13.881732409063801</v>
      </c>
      <c r="H49" s="21">
        <f t="shared" ca="1" si="3"/>
        <v>0.12716709728444783</v>
      </c>
      <c r="I49">
        <f t="shared" ca="1" si="1"/>
        <v>14.008899506348248</v>
      </c>
      <c r="J49" s="21">
        <f t="shared" ca="1" si="2"/>
        <v>14.136066603632697</v>
      </c>
    </row>
    <row r="50" spans="5:10" x14ac:dyDescent="0.25">
      <c r="E50">
        <v>1928</v>
      </c>
      <c r="F50">
        <v>13.89</v>
      </c>
      <c r="G50" s="21">
        <f t="shared" si="0"/>
        <v>13.887371496720331</v>
      </c>
      <c r="H50" s="21">
        <f t="shared" ca="1" si="3"/>
        <v>0.19912991885890963</v>
      </c>
      <c r="I50">
        <f t="shared" ca="1" si="1"/>
        <v>14.086501415579241</v>
      </c>
      <c r="J50" s="21">
        <f t="shared" ca="1" si="2"/>
        <v>14.28563133443815</v>
      </c>
    </row>
    <row r="51" spans="5:10" x14ac:dyDescent="0.25">
      <c r="E51">
        <v>1929</v>
      </c>
      <c r="F51">
        <v>13.75</v>
      </c>
      <c r="G51" s="21">
        <f t="shared" si="0"/>
        <v>13.89301058437686</v>
      </c>
      <c r="H51" s="21">
        <f t="shared" ca="1" si="3"/>
        <v>0.12029497145526009</v>
      </c>
      <c r="I51">
        <f t="shared" ca="1" si="1"/>
        <v>14.013305555832121</v>
      </c>
      <c r="J51" s="21">
        <f t="shared" ca="1" si="2"/>
        <v>14.133600527287379</v>
      </c>
    </row>
    <row r="52" spans="5:10" x14ac:dyDescent="0.25">
      <c r="E52">
        <v>1930</v>
      </c>
      <c r="F52">
        <v>13.93</v>
      </c>
      <c r="G52" s="21">
        <f t="shared" si="0"/>
        <v>13.89864967203339</v>
      </c>
      <c r="H52" s="21">
        <f t="shared" ca="1" si="3"/>
        <v>0.20433943701895133</v>
      </c>
      <c r="I52">
        <f t="shared" ca="1" si="1"/>
        <v>14.102989109052341</v>
      </c>
      <c r="J52" s="21">
        <f t="shared" ca="1" si="2"/>
        <v>14.307328546071293</v>
      </c>
    </row>
    <row r="53" spans="5:10" x14ac:dyDescent="0.25">
      <c r="E53">
        <v>1931</v>
      </c>
      <c r="F53">
        <v>13.99</v>
      </c>
      <c r="G53" s="21">
        <f t="shared" si="0"/>
        <v>13.904288759689919</v>
      </c>
      <c r="H53" s="21">
        <f t="shared" ca="1" si="3"/>
        <v>0.29863032028996794</v>
      </c>
      <c r="I53">
        <f t="shared" ca="1" si="1"/>
        <v>14.202919079979887</v>
      </c>
      <c r="J53" s="21">
        <f t="shared" ca="1" si="2"/>
        <v>14.501549400269855</v>
      </c>
    </row>
    <row r="54" spans="5:10" x14ac:dyDescent="0.25">
      <c r="E54">
        <v>1932</v>
      </c>
      <c r="F54">
        <v>13.94</v>
      </c>
      <c r="G54" s="21">
        <f t="shared" si="0"/>
        <v>13.909927847346449</v>
      </c>
      <c r="H54" s="21">
        <f t="shared" ca="1" si="3"/>
        <v>0.13004542359028989</v>
      </c>
      <c r="I54">
        <f t="shared" ca="1" si="1"/>
        <v>14.039973270936738</v>
      </c>
      <c r="J54" s="21">
        <f t="shared" ca="1" si="2"/>
        <v>14.170018694527029</v>
      </c>
    </row>
    <row r="55" spans="5:10" x14ac:dyDescent="0.25">
      <c r="E55">
        <v>1933</v>
      </c>
      <c r="F55">
        <v>13.83</v>
      </c>
      <c r="G55" s="21">
        <f t="shared" si="0"/>
        <v>13.915566935002978</v>
      </c>
      <c r="H55" s="21">
        <f t="shared" ca="1" si="3"/>
        <v>0.16766929710270101</v>
      </c>
      <c r="I55">
        <f t="shared" ca="1" si="1"/>
        <v>14.08323623210568</v>
      </c>
      <c r="J55" s="21">
        <f t="shared" ca="1" si="2"/>
        <v>14.25090552920838</v>
      </c>
    </row>
    <row r="56" spans="5:10" x14ac:dyDescent="0.25">
      <c r="E56">
        <v>1934</v>
      </c>
      <c r="F56">
        <v>13.95</v>
      </c>
      <c r="G56" s="21">
        <f t="shared" si="0"/>
        <v>13.921206022659508</v>
      </c>
      <c r="H56" s="21">
        <f t="shared" ca="1" si="3"/>
        <v>-9.8045202692562547E-2</v>
      </c>
      <c r="I56">
        <f t="shared" ca="1" si="1"/>
        <v>13.823160819966946</v>
      </c>
      <c r="J56" s="21">
        <f t="shared" ca="1" si="2"/>
        <v>13.725115617274383</v>
      </c>
    </row>
    <row r="57" spans="5:10" x14ac:dyDescent="0.25">
      <c r="E57">
        <v>1935</v>
      </c>
      <c r="F57">
        <v>13.9</v>
      </c>
      <c r="G57" s="21">
        <f t="shared" si="0"/>
        <v>13.926845110316037</v>
      </c>
      <c r="H57" s="21">
        <f t="shared" ca="1" si="3"/>
        <v>4.7293668480456644E-2</v>
      </c>
      <c r="I57">
        <f t="shared" ca="1" si="1"/>
        <v>13.974138778796494</v>
      </c>
      <c r="J57" s="21">
        <f t="shared" ca="1" si="2"/>
        <v>14.02143244727695</v>
      </c>
    </row>
    <row r="58" spans="5:10" x14ac:dyDescent="0.25">
      <c r="E58">
        <v>1936</v>
      </c>
      <c r="F58">
        <v>13.96</v>
      </c>
      <c r="G58" s="21">
        <f t="shared" si="0"/>
        <v>13.932484197972567</v>
      </c>
      <c r="H58" s="21">
        <f t="shared" ca="1" si="3"/>
        <v>7.3741078207732819E-2</v>
      </c>
      <c r="I58">
        <f t="shared" ca="1" si="1"/>
        <v>14.006225276180301</v>
      </c>
      <c r="J58" s="21">
        <f t="shared" ca="1" si="2"/>
        <v>14.079966354388032</v>
      </c>
    </row>
    <row r="59" spans="5:10" x14ac:dyDescent="0.25">
      <c r="E59">
        <v>1937</v>
      </c>
      <c r="F59">
        <v>14.08</v>
      </c>
      <c r="G59" s="21">
        <f t="shared" si="0"/>
        <v>13.938123285629096</v>
      </c>
      <c r="H59" s="21">
        <f t="shared" ca="1" si="3"/>
        <v>-0.11840406495535571</v>
      </c>
      <c r="I59">
        <f t="shared" ca="1" si="1"/>
        <v>13.81971922067374</v>
      </c>
      <c r="J59" s="21">
        <f t="shared" ca="1" si="2"/>
        <v>13.701315155718385</v>
      </c>
    </row>
    <row r="60" spans="5:10" x14ac:dyDescent="0.25">
      <c r="E60">
        <v>1938</v>
      </c>
      <c r="F60">
        <v>14.11</v>
      </c>
      <c r="G60" s="21">
        <f t="shared" si="0"/>
        <v>13.943762373285626</v>
      </c>
      <c r="H60" s="21">
        <f t="shared" ca="1" si="3"/>
        <v>-4.9626910008903777E-2</v>
      </c>
      <c r="I60">
        <f t="shared" ca="1" si="1"/>
        <v>13.894135463276722</v>
      </c>
      <c r="J60" s="21">
        <f t="shared" ca="1" si="2"/>
        <v>13.844508553267818</v>
      </c>
    </row>
    <row r="61" spans="5:10" x14ac:dyDescent="0.25">
      <c r="E61">
        <v>1939</v>
      </c>
      <c r="F61">
        <v>14.03</v>
      </c>
      <c r="G61" s="21">
        <f t="shared" si="0"/>
        <v>13.949401460942155</v>
      </c>
      <c r="H61" s="21">
        <f t="shared" ca="1" si="3"/>
        <v>-0.21782135175924594</v>
      </c>
      <c r="I61">
        <f t="shared" ca="1" si="1"/>
        <v>13.731580109182909</v>
      </c>
      <c r="J61" s="21">
        <f t="shared" ca="1" si="2"/>
        <v>13.513758757423664</v>
      </c>
    </row>
    <row r="62" spans="5:10" x14ac:dyDescent="0.25">
      <c r="E62">
        <v>1940</v>
      </c>
      <c r="F62">
        <v>14.05</v>
      </c>
      <c r="G62" s="21">
        <f t="shared" si="0"/>
        <v>13.955040548598685</v>
      </c>
      <c r="H62" s="21">
        <f t="shared" ca="1" si="3"/>
        <v>-0.25365248317388278</v>
      </c>
      <c r="I62">
        <f t="shared" ca="1" si="1"/>
        <v>13.701388065424803</v>
      </c>
      <c r="J62" s="21">
        <f t="shared" ca="1" si="2"/>
        <v>13.447735582250919</v>
      </c>
    </row>
    <row r="63" spans="5:10" x14ac:dyDescent="0.25">
      <c r="E63">
        <v>1941</v>
      </c>
      <c r="F63">
        <v>14.11</v>
      </c>
      <c r="G63" s="21">
        <f t="shared" si="0"/>
        <v>13.960679636255215</v>
      </c>
      <c r="H63" s="21">
        <f t="shared" ca="1" si="3"/>
        <v>-3.732869563190569E-2</v>
      </c>
      <c r="I63">
        <f t="shared" ca="1" si="1"/>
        <v>13.923350940623308</v>
      </c>
      <c r="J63" s="21">
        <f t="shared" ca="1" si="2"/>
        <v>13.886022244991404</v>
      </c>
    </row>
    <row r="64" spans="5:10" x14ac:dyDescent="0.25">
      <c r="E64">
        <v>1942</v>
      </c>
      <c r="F64">
        <v>14.04</v>
      </c>
      <c r="G64" s="21">
        <f t="shared" si="0"/>
        <v>13.966318723911744</v>
      </c>
      <c r="H64" s="21">
        <f t="shared" ca="1" si="3"/>
        <v>6.99232429029693E-3</v>
      </c>
      <c r="I64">
        <f t="shared" ca="1" si="1"/>
        <v>13.97331104820204</v>
      </c>
      <c r="J64" s="21">
        <f t="shared" ca="1" si="2"/>
        <v>13.980303372492338</v>
      </c>
    </row>
    <row r="65" spans="5:10" x14ac:dyDescent="0.25">
      <c r="E65">
        <v>1943</v>
      </c>
      <c r="F65">
        <v>14.1</v>
      </c>
      <c r="G65" s="21">
        <f t="shared" si="0"/>
        <v>13.971957811568274</v>
      </c>
      <c r="H65" s="21">
        <f t="shared" ca="1" si="3"/>
        <v>3.6791669081608316E-2</v>
      </c>
      <c r="I65">
        <f t="shared" ca="1" si="1"/>
        <v>14.008749480649882</v>
      </c>
      <c r="J65" s="21">
        <f t="shared" ca="1" si="2"/>
        <v>14.045541149731489</v>
      </c>
    </row>
    <row r="66" spans="5:10" x14ac:dyDescent="0.25">
      <c r="E66">
        <v>1944</v>
      </c>
      <c r="F66">
        <v>14.2</v>
      </c>
      <c r="G66" s="21">
        <f t="shared" si="0"/>
        <v>13.977596899224803</v>
      </c>
      <c r="H66" s="21">
        <f t="shared" ca="1" si="3"/>
        <v>-3.370299162409357E-2</v>
      </c>
      <c r="I66">
        <f t="shared" ca="1" si="1"/>
        <v>13.94389390760071</v>
      </c>
      <c r="J66" s="21">
        <f t="shared" ca="1" si="2"/>
        <v>13.910190915976615</v>
      </c>
    </row>
    <row r="67" spans="5:10" x14ac:dyDescent="0.25">
      <c r="E67">
        <v>1945</v>
      </c>
      <c r="F67">
        <v>14.07</v>
      </c>
      <c r="G67" s="21">
        <f t="shared" ref="G67:G130" si="4">E67*SLOPE($F$2:$F$130,$E$2:$E$130) + INTERCEPT($F$2:$F$130,$E$2:$E$130)</f>
        <v>13.983235986881333</v>
      </c>
      <c r="H67" s="21">
        <f t="shared" ca="1" si="3"/>
        <v>-7.0353842265998709E-2</v>
      </c>
      <c r="I67">
        <f t="shared" ref="I67:I130" ca="1" si="5">G67+H67</f>
        <v>13.912882144615335</v>
      </c>
      <c r="J67" s="21">
        <f t="shared" ref="J67:J130" ca="1" si="6">G67+2*H67</f>
        <v>13.842528302349335</v>
      </c>
    </row>
    <row r="68" spans="5:10" x14ac:dyDescent="0.25">
      <c r="E68">
        <v>1946</v>
      </c>
      <c r="F68">
        <v>13.96</v>
      </c>
      <c r="G68" s="21">
        <f t="shared" si="4"/>
        <v>13.988875074537862</v>
      </c>
      <c r="H68" s="21">
        <f t="shared" ref="H68:H131" ca="1" si="7" xml:space="preserve"> 0.62 * H67 + 0.098*NORMINV(RAND(),0,1)</f>
        <v>0.12542581136179293</v>
      </c>
      <c r="I68">
        <f t="shared" ca="1" si="5"/>
        <v>14.114300885899656</v>
      </c>
      <c r="J68" s="21">
        <f t="shared" ca="1" si="6"/>
        <v>14.239726697261448</v>
      </c>
    </row>
    <row r="69" spans="5:10" x14ac:dyDescent="0.25">
      <c r="E69">
        <v>1947</v>
      </c>
      <c r="F69">
        <v>14.01</v>
      </c>
      <c r="G69" s="21">
        <f t="shared" si="4"/>
        <v>13.994514162194392</v>
      </c>
      <c r="H69" s="21">
        <f t="shared" ca="1" si="7"/>
        <v>0.11681521932729927</v>
      </c>
      <c r="I69">
        <f t="shared" ca="1" si="5"/>
        <v>14.11132938152169</v>
      </c>
      <c r="J69" s="21">
        <f t="shared" ca="1" si="6"/>
        <v>14.22814460084899</v>
      </c>
    </row>
    <row r="70" spans="5:10" x14ac:dyDescent="0.25">
      <c r="E70">
        <v>1948</v>
      </c>
      <c r="F70">
        <v>13.96</v>
      </c>
      <c r="G70" s="21">
        <f t="shared" si="4"/>
        <v>14.000153249850921</v>
      </c>
      <c r="H70" s="21">
        <f t="shared" ca="1" si="7"/>
        <v>-8.8356711227562904E-2</v>
      </c>
      <c r="I70">
        <f t="shared" ca="1" si="5"/>
        <v>13.911796538623358</v>
      </c>
      <c r="J70" s="21">
        <f t="shared" ca="1" si="6"/>
        <v>13.823439827395795</v>
      </c>
    </row>
    <row r="71" spans="5:10" x14ac:dyDescent="0.25">
      <c r="E71">
        <v>1949</v>
      </c>
      <c r="F71">
        <v>13.94</v>
      </c>
      <c r="G71" s="21">
        <f t="shared" si="4"/>
        <v>14.005792337507451</v>
      </c>
      <c r="H71" s="21">
        <f t="shared" ca="1" si="7"/>
        <v>-0.2811056930669551</v>
      </c>
      <c r="I71">
        <f t="shared" ca="1" si="5"/>
        <v>13.724686644440496</v>
      </c>
      <c r="J71" s="21">
        <f t="shared" ca="1" si="6"/>
        <v>13.443580951373541</v>
      </c>
    </row>
    <row r="72" spans="5:10" x14ac:dyDescent="0.25">
      <c r="E72">
        <v>1950</v>
      </c>
      <c r="F72">
        <v>13.85</v>
      </c>
      <c r="G72" s="21">
        <f t="shared" si="4"/>
        <v>14.01143142516398</v>
      </c>
      <c r="H72" s="21">
        <f t="shared" ca="1" si="7"/>
        <v>-0.20654288099744939</v>
      </c>
      <c r="I72">
        <f t="shared" ca="1" si="5"/>
        <v>13.804888544166531</v>
      </c>
      <c r="J72" s="21">
        <f t="shared" ca="1" si="6"/>
        <v>13.598345663169082</v>
      </c>
    </row>
    <row r="73" spans="5:10" x14ac:dyDescent="0.25">
      <c r="E73">
        <v>1951</v>
      </c>
      <c r="F73">
        <v>13.96</v>
      </c>
      <c r="G73" s="21">
        <f t="shared" si="4"/>
        <v>14.01707051282051</v>
      </c>
      <c r="H73" s="21">
        <f t="shared" ca="1" si="7"/>
        <v>4.826289484488519E-2</v>
      </c>
      <c r="I73">
        <f t="shared" ca="1" si="5"/>
        <v>14.065333407665396</v>
      </c>
      <c r="J73" s="21">
        <f t="shared" ca="1" si="6"/>
        <v>14.113596302510281</v>
      </c>
    </row>
    <row r="74" spans="5:10" x14ac:dyDescent="0.25">
      <c r="E74">
        <v>1952</v>
      </c>
      <c r="F74">
        <v>14.03</v>
      </c>
      <c r="G74" s="21">
        <f t="shared" si="4"/>
        <v>14.02270960047704</v>
      </c>
      <c r="H74" s="21">
        <f t="shared" ca="1" si="7"/>
        <v>9.6468975926504788E-2</v>
      </c>
      <c r="I74">
        <f t="shared" ca="1" si="5"/>
        <v>14.119178576403545</v>
      </c>
      <c r="J74" s="21">
        <f t="shared" ca="1" si="6"/>
        <v>14.215647552330049</v>
      </c>
    </row>
    <row r="75" spans="5:10" x14ac:dyDescent="0.25">
      <c r="E75">
        <v>1953</v>
      </c>
      <c r="F75">
        <v>14.11</v>
      </c>
      <c r="G75" s="21">
        <f t="shared" si="4"/>
        <v>14.028348688133569</v>
      </c>
      <c r="H75" s="21">
        <f t="shared" ca="1" si="7"/>
        <v>-8.2228044958037649E-2</v>
      </c>
      <c r="I75">
        <f t="shared" ca="1" si="5"/>
        <v>13.946120643175531</v>
      </c>
      <c r="J75" s="21">
        <f t="shared" ca="1" si="6"/>
        <v>13.863892598217493</v>
      </c>
    </row>
    <row r="76" spans="5:10" x14ac:dyDescent="0.25">
      <c r="E76">
        <v>1954</v>
      </c>
      <c r="F76">
        <v>13.9</v>
      </c>
      <c r="G76" s="21">
        <f t="shared" si="4"/>
        <v>14.033987775790099</v>
      </c>
      <c r="H76" s="21">
        <f t="shared" ca="1" si="7"/>
        <v>-6.9495989470650749E-2</v>
      </c>
      <c r="I76">
        <f t="shared" ca="1" si="5"/>
        <v>13.964491786319448</v>
      </c>
      <c r="J76" s="21">
        <f t="shared" ca="1" si="6"/>
        <v>13.894995796848796</v>
      </c>
    </row>
    <row r="77" spans="5:10" x14ac:dyDescent="0.25">
      <c r="E77">
        <v>1955</v>
      </c>
      <c r="F77">
        <v>13.9</v>
      </c>
      <c r="G77" s="21">
        <f t="shared" si="4"/>
        <v>14.039626863446628</v>
      </c>
      <c r="H77" s="21">
        <f t="shared" ca="1" si="7"/>
        <v>3.0672883277424803E-3</v>
      </c>
      <c r="I77">
        <f t="shared" ca="1" si="5"/>
        <v>14.04269415177437</v>
      </c>
      <c r="J77" s="21">
        <f t="shared" ca="1" si="6"/>
        <v>14.045761440102114</v>
      </c>
    </row>
    <row r="78" spans="5:10" x14ac:dyDescent="0.25">
      <c r="E78">
        <v>1956</v>
      </c>
      <c r="F78">
        <v>13.83</v>
      </c>
      <c r="G78" s="21">
        <f t="shared" si="4"/>
        <v>14.045265951103158</v>
      </c>
      <c r="H78" s="21">
        <f t="shared" ca="1" si="7"/>
        <v>-7.9015835587382243E-3</v>
      </c>
      <c r="I78">
        <f t="shared" ca="1" si="5"/>
        <v>14.03736436754442</v>
      </c>
      <c r="J78" s="21">
        <f t="shared" ca="1" si="6"/>
        <v>14.02946278398568</v>
      </c>
    </row>
    <row r="79" spans="5:10" x14ac:dyDescent="0.25">
      <c r="E79">
        <v>1957</v>
      </c>
      <c r="F79">
        <v>14.07</v>
      </c>
      <c r="G79" s="21">
        <f t="shared" si="4"/>
        <v>14.050905038759687</v>
      </c>
      <c r="H79" s="21">
        <f t="shared" ca="1" si="7"/>
        <v>0.13035134699212911</v>
      </c>
      <c r="I79">
        <f t="shared" ca="1" si="5"/>
        <v>14.181256385751816</v>
      </c>
      <c r="J79" s="21">
        <f t="shared" ca="1" si="6"/>
        <v>14.311607732743946</v>
      </c>
    </row>
    <row r="80" spans="5:10" x14ac:dyDescent="0.25">
      <c r="E80">
        <v>1958</v>
      </c>
      <c r="F80">
        <v>14.08</v>
      </c>
      <c r="G80" s="21">
        <f t="shared" si="4"/>
        <v>14.056544126416217</v>
      </c>
      <c r="H80" s="21">
        <f t="shared" ca="1" si="7"/>
        <v>0.2143192430821575</v>
      </c>
      <c r="I80">
        <f t="shared" ca="1" si="5"/>
        <v>14.270863369498374</v>
      </c>
      <c r="J80" s="21">
        <f t="shared" ca="1" si="6"/>
        <v>14.485182612580532</v>
      </c>
    </row>
    <row r="81" spans="5:10" x14ac:dyDescent="0.25">
      <c r="E81">
        <v>1959</v>
      </c>
      <c r="F81">
        <v>14.06</v>
      </c>
      <c r="G81" s="21">
        <f t="shared" si="4"/>
        <v>14.062183214072746</v>
      </c>
      <c r="H81" s="21">
        <f t="shared" ca="1" si="7"/>
        <v>0.14371563131338294</v>
      </c>
      <c r="I81">
        <f t="shared" ca="1" si="5"/>
        <v>14.205898845386129</v>
      </c>
      <c r="J81" s="21">
        <f t="shared" ca="1" si="6"/>
        <v>14.349614476699513</v>
      </c>
    </row>
    <row r="82" spans="5:10" x14ac:dyDescent="0.25">
      <c r="E82">
        <v>1960</v>
      </c>
      <c r="F82">
        <v>13.99</v>
      </c>
      <c r="G82" s="21">
        <f t="shared" si="4"/>
        <v>14.067822301729276</v>
      </c>
      <c r="H82" s="21">
        <f t="shared" ca="1" si="7"/>
        <v>0.24045186637236859</v>
      </c>
      <c r="I82">
        <f t="shared" ca="1" si="5"/>
        <v>14.308274168101644</v>
      </c>
      <c r="J82" s="21">
        <f t="shared" ca="1" si="6"/>
        <v>14.548726034474013</v>
      </c>
    </row>
    <row r="83" spans="5:10" x14ac:dyDescent="0.25">
      <c r="E83">
        <v>1961</v>
      </c>
      <c r="F83">
        <v>14.08</v>
      </c>
      <c r="G83" s="21">
        <f t="shared" si="4"/>
        <v>14.073461389385805</v>
      </c>
      <c r="H83" s="21">
        <f t="shared" ca="1" si="7"/>
        <v>0.38403387006990991</v>
      </c>
      <c r="I83">
        <f t="shared" ca="1" si="5"/>
        <v>14.457495259455715</v>
      </c>
      <c r="J83" s="21">
        <f t="shared" ca="1" si="6"/>
        <v>14.841529129525625</v>
      </c>
    </row>
    <row r="84" spans="5:10" x14ac:dyDescent="0.25">
      <c r="E84">
        <v>1962</v>
      </c>
      <c r="F84">
        <v>14.04</v>
      </c>
      <c r="G84" s="21">
        <f t="shared" si="4"/>
        <v>14.079100477042335</v>
      </c>
      <c r="H84" s="21">
        <f t="shared" ca="1" si="7"/>
        <v>0.33070392703535145</v>
      </c>
      <c r="I84">
        <f t="shared" ca="1" si="5"/>
        <v>14.409804404077686</v>
      </c>
      <c r="J84" s="21">
        <f t="shared" ca="1" si="6"/>
        <v>14.740508331113038</v>
      </c>
    </row>
    <row r="85" spans="5:10" x14ac:dyDescent="0.25">
      <c r="E85">
        <v>1963</v>
      </c>
      <c r="F85">
        <v>14.08</v>
      </c>
      <c r="G85" s="21">
        <f t="shared" si="4"/>
        <v>14.084739564698864</v>
      </c>
      <c r="H85" s="21">
        <f t="shared" ca="1" si="7"/>
        <v>0.1393557630316124</v>
      </c>
      <c r="I85">
        <f t="shared" ca="1" si="5"/>
        <v>14.224095327730478</v>
      </c>
      <c r="J85" s="21">
        <f t="shared" ca="1" si="6"/>
        <v>14.363451090762089</v>
      </c>
    </row>
    <row r="86" spans="5:10" x14ac:dyDescent="0.25">
      <c r="E86">
        <v>1964</v>
      </c>
      <c r="F86">
        <v>13.79</v>
      </c>
      <c r="G86" s="21">
        <f t="shared" si="4"/>
        <v>14.090378652355394</v>
      </c>
      <c r="H86" s="21">
        <f t="shared" ca="1" si="7"/>
        <v>-1.7987849715054793E-2</v>
      </c>
      <c r="I86">
        <f t="shared" ca="1" si="5"/>
        <v>14.072390802640339</v>
      </c>
      <c r="J86" s="21">
        <f t="shared" ca="1" si="6"/>
        <v>14.054402952925285</v>
      </c>
    </row>
    <row r="87" spans="5:10" x14ac:dyDescent="0.25">
      <c r="E87">
        <v>1965</v>
      </c>
      <c r="F87">
        <v>13.89</v>
      </c>
      <c r="G87" s="21">
        <f t="shared" si="4"/>
        <v>14.096017740011924</v>
      </c>
      <c r="H87" s="21">
        <f t="shared" ca="1" si="7"/>
        <v>5.456378701856493E-2</v>
      </c>
      <c r="I87">
        <f t="shared" ca="1" si="5"/>
        <v>14.150581527030489</v>
      </c>
      <c r="J87" s="21">
        <f t="shared" ca="1" si="6"/>
        <v>14.205145314049053</v>
      </c>
    </row>
    <row r="88" spans="5:10" x14ac:dyDescent="0.25">
      <c r="E88">
        <v>1966</v>
      </c>
      <c r="F88">
        <v>13.97</v>
      </c>
      <c r="G88" s="21">
        <f t="shared" si="4"/>
        <v>14.101656827668453</v>
      </c>
      <c r="H88" s="21">
        <f t="shared" ca="1" si="7"/>
        <v>-4.5327308424712047E-2</v>
      </c>
      <c r="I88">
        <f t="shared" ca="1" si="5"/>
        <v>14.056329519243741</v>
      </c>
      <c r="J88" s="21">
        <f t="shared" ca="1" si="6"/>
        <v>14.011002210819029</v>
      </c>
    </row>
    <row r="89" spans="5:10" x14ac:dyDescent="0.25">
      <c r="E89">
        <v>1967</v>
      </c>
      <c r="F89">
        <v>14</v>
      </c>
      <c r="G89" s="21">
        <f t="shared" si="4"/>
        <v>14.107295915324983</v>
      </c>
      <c r="H89" s="21">
        <f t="shared" ca="1" si="7"/>
        <v>-7.8948754900014156E-2</v>
      </c>
      <c r="I89">
        <f t="shared" ca="1" si="5"/>
        <v>14.028347160424968</v>
      </c>
      <c r="J89" s="21">
        <f t="shared" ca="1" si="6"/>
        <v>13.949398405524954</v>
      </c>
    </row>
    <row r="90" spans="5:10" x14ac:dyDescent="0.25">
      <c r="E90">
        <v>1968</v>
      </c>
      <c r="F90">
        <v>13.96</v>
      </c>
      <c r="G90" s="21">
        <f t="shared" si="4"/>
        <v>14.112935002981512</v>
      </c>
      <c r="H90" s="21">
        <f t="shared" ca="1" si="7"/>
        <v>5.0453203468574549E-2</v>
      </c>
      <c r="I90">
        <f t="shared" ca="1" si="5"/>
        <v>14.163388206450087</v>
      </c>
      <c r="J90" s="21">
        <f t="shared" ca="1" si="6"/>
        <v>14.213841409918661</v>
      </c>
    </row>
    <row r="91" spans="5:10" x14ac:dyDescent="0.25">
      <c r="E91">
        <v>1969</v>
      </c>
      <c r="F91">
        <v>14.08</v>
      </c>
      <c r="G91" s="21">
        <f t="shared" si="4"/>
        <v>14.118574090638042</v>
      </c>
      <c r="H91" s="21">
        <f t="shared" ca="1" si="7"/>
        <v>0.13989126558127118</v>
      </c>
      <c r="I91">
        <f t="shared" ca="1" si="5"/>
        <v>14.258465356219313</v>
      </c>
      <c r="J91" s="21">
        <f t="shared" ca="1" si="6"/>
        <v>14.398356621800584</v>
      </c>
    </row>
    <row r="92" spans="5:10" x14ac:dyDescent="0.25">
      <c r="E92">
        <v>1970</v>
      </c>
      <c r="F92">
        <v>14.03</v>
      </c>
      <c r="G92" s="21">
        <f t="shared" si="4"/>
        <v>14.124213178294571</v>
      </c>
      <c r="H92" s="21">
        <f t="shared" ca="1" si="7"/>
        <v>0.24302916162776894</v>
      </c>
      <c r="I92">
        <f t="shared" ca="1" si="5"/>
        <v>14.36724233992234</v>
      </c>
      <c r="J92" s="21">
        <f t="shared" ca="1" si="6"/>
        <v>14.610271501550109</v>
      </c>
    </row>
    <row r="93" spans="5:10" x14ac:dyDescent="0.25">
      <c r="E93">
        <v>1971</v>
      </c>
      <c r="F93">
        <v>13.9</v>
      </c>
      <c r="G93" s="21">
        <f t="shared" si="4"/>
        <v>14.129852265951101</v>
      </c>
      <c r="H93" s="21">
        <f t="shared" ca="1" si="7"/>
        <v>0.18606142228040726</v>
      </c>
      <c r="I93">
        <f t="shared" ca="1" si="5"/>
        <v>14.315913688231507</v>
      </c>
      <c r="J93" s="21">
        <f t="shared" ca="1" si="6"/>
        <v>14.501975110511916</v>
      </c>
    </row>
    <row r="94" spans="5:10" x14ac:dyDescent="0.25">
      <c r="E94">
        <v>1972</v>
      </c>
      <c r="F94">
        <v>14</v>
      </c>
      <c r="G94" s="21">
        <f t="shared" si="4"/>
        <v>14.13549135360763</v>
      </c>
      <c r="H94" s="21">
        <f t="shared" ca="1" si="7"/>
        <v>-8.7862243082641178E-4</v>
      </c>
      <c r="I94">
        <f t="shared" ca="1" si="5"/>
        <v>14.134612731176803</v>
      </c>
      <c r="J94" s="21">
        <f t="shared" ca="1" si="6"/>
        <v>14.133734108745978</v>
      </c>
    </row>
    <row r="95" spans="5:10" x14ac:dyDescent="0.25">
      <c r="E95">
        <v>1973</v>
      </c>
      <c r="F95">
        <v>14.14</v>
      </c>
      <c r="G95" s="21">
        <f t="shared" si="4"/>
        <v>14.14113044126416</v>
      </c>
      <c r="H95" s="21">
        <f t="shared" ca="1" si="7"/>
        <v>-9.0819168864511288E-2</v>
      </c>
      <c r="I95">
        <f t="shared" ca="1" si="5"/>
        <v>14.050311272399648</v>
      </c>
      <c r="J95" s="21">
        <f t="shared" ca="1" si="6"/>
        <v>13.959492103535137</v>
      </c>
    </row>
    <row r="96" spans="5:10" x14ac:dyDescent="0.25">
      <c r="E96">
        <v>1974</v>
      </c>
      <c r="F96">
        <v>13.92</v>
      </c>
      <c r="G96" s="21">
        <f t="shared" si="4"/>
        <v>14.146769528920689</v>
      </c>
      <c r="H96" s="21">
        <f t="shared" ca="1" si="7"/>
        <v>-9.6040334522871987E-2</v>
      </c>
      <c r="I96">
        <f t="shared" ca="1" si="5"/>
        <v>14.050729194397817</v>
      </c>
      <c r="J96" s="21">
        <f t="shared" ca="1" si="6"/>
        <v>13.954688859874945</v>
      </c>
    </row>
    <row r="97" spans="5:10" x14ac:dyDescent="0.25">
      <c r="E97">
        <v>1975</v>
      </c>
      <c r="F97">
        <v>13.95</v>
      </c>
      <c r="G97" s="21">
        <f t="shared" si="4"/>
        <v>14.152408616577219</v>
      </c>
      <c r="H97" s="21">
        <f t="shared" ca="1" si="7"/>
        <v>-3.5054587001745574E-2</v>
      </c>
      <c r="I97">
        <f t="shared" ca="1" si="5"/>
        <v>14.117354029575473</v>
      </c>
      <c r="J97" s="21">
        <f t="shared" ca="1" si="6"/>
        <v>14.082299442573728</v>
      </c>
    </row>
    <row r="98" spans="5:10" x14ac:dyDescent="0.25">
      <c r="E98">
        <v>1976</v>
      </c>
      <c r="F98">
        <v>13.84</v>
      </c>
      <c r="G98" s="21">
        <f t="shared" si="4"/>
        <v>14.158047704233748</v>
      </c>
      <c r="H98" s="21">
        <f t="shared" ca="1" si="7"/>
        <v>2.6740733781541834E-2</v>
      </c>
      <c r="I98">
        <f t="shared" ca="1" si="5"/>
        <v>14.184788438015291</v>
      </c>
      <c r="J98" s="21">
        <f t="shared" ca="1" si="6"/>
        <v>14.211529171796832</v>
      </c>
    </row>
    <row r="99" spans="5:10" x14ac:dyDescent="0.25">
      <c r="E99">
        <v>1977</v>
      </c>
      <c r="F99">
        <v>14.13</v>
      </c>
      <c r="G99" s="21">
        <f t="shared" si="4"/>
        <v>14.163686791890278</v>
      </c>
      <c r="H99" s="21">
        <f t="shared" ca="1" si="7"/>
        <v>-9.0490737732642247E-3</v>
      </c>
      <c r="I99">
        <f t="shared" ca="1" si="5"/>
        <v>14.154637718117014</v>
      </c>
      <c r="J99" s="21">
        <f t="shared" ca="1" si="6"/>
        <v>14.14558864434375</v>
      </c>
    </row>
    <row r="100" spans="5:10" x14ac:dyDescent="0.25">
      <c r="E100">
        <v>1978</v>
      </c>
      <c r="F100">
        <v>14.02</v>
      </c>
      <c r="G100" s="21">
        <f t="shared" si="4"/>
        <v>14.169325879546808</v>
      </c>
      <c r="H100" s="21">
        <f t="shared" ca="1" si="7"/>
        <v>8.8397546023808407E-2</v>
      </c>
      <c r="I100">
        <f t="shared" ca="1" si="5"/>
        <v>14.257723425570616</v>
      </c>
      <c r="J100" s="21">
        <f t="shared" ca="1" si="6"/>
        <v>14.346120971594424</v>
      </c>
    </row>
    <row r="101" spans="5:10" x14ac:dyDescent="0.25">
      <c r="E101">
        <v>1979</v>
      </c>
      <c r="F101">
        <v>14.09</v>
      </c>
      <c r="G101" s="21">
        <f t="shared" si="4"/>
        <v>14.174964967203337</v>
      </c>
      <c r="H101" s="21">
        <f t="shared" ca="1" si="7"/>
        <v>-0.12473165504695281</v>
      </c>
      <c r="I101">
        <f t="shared" ca="1" si="5"/>
        <v>14.050233312156385</v>
      </c>
      <c r="J101" s="21">
        <f t="shared" ca="1" si="6"/>
        <v>13.925501657109432</v>
      </c>
    </row>
    <row r="102" spans="5:10" x14ac:dyDescent="0.25">
      <c r="E102">
        <v>1980</v>
      </c>
      <c r="F102">
        <v>14.18</v>
      </c>
      <c r="G102" s="21">
        <f t="shared" si="4"/>
        <v>14.180604054859867</v>
      </c>
      <c r="H102" s="21">
        <f t="shared" ca="1" si="7"/>
        <v>-9.4650221880838367E-2</v>
      </c>
      <c r="I102">
        <f t="shared" ca="1" si="5"/>
        <v>14.085953832979028</v>
      </c>
      <c r="J102" s="21">
        <f t="shared" ca="1" si="6"/>
        <v>13.991303611098189</v>
      </c>
    </row>
    <row r="103" spans="5:10" x14ac:dyDescent="0.25">
      <c r="E103">
        <v>1981</v>
      </c>
      <c r="F103">
        <v>14.26</v>
      </c>
      <c r="G103" s="21">
        <f t="shared" si="4"/>
        <v>14.186243142516396</v>
      </c>
      <c r="H103" s="21">
        <f t="shared" ca="1" si="7"/>
        <v>2.6239492494711872E-2</v>
      </c>
      <c r="I103">
        <f t="shared" ca="1" si="5"/>
        <v>14.212482635011108</v>
      </c>
      <c r="J103" s="21">
        <f t="shared" ca="1" si="6"/>
        <v>14.23872212750582</v>
      </c>
    </row>
    <row r="104" spans="5:10" x14ac:dyDescent="0.25">
      <c r="E104">
        <v>1982</v>
      </c>
      <c r="F104">
        <v>14.05</v>
      </c>
      <c r="G104" s="21">
        <f t="shared" si="4"/>
        <v>14.191882230172926</v>
      </c>
      <c r="H104" s="21">
        <f t="shared" ca="1" si="7"/>
        <v>-2.3952641762844909E-2</v>
      </c>
      <c r="I104">
        <f t="shared" ca="1" si="5"/>
        <v>14.167929588410081</v>
      </c>
      <c r="J104" s="21">
        <f t="shared" ca="1" si="6"/>
        <v>14.143976946647236</v>
      </c>
    </row>
    <row r="105" spans="5:10" x14ac:dyDescent="0.25">
      <c r="E105">
        <v>1983</v>
      </c>
      <c r="F105">
        <v>14.26</v>
      </c>
      <c r="G105" s="21">
        <f t="shared" si="4"/>
        <v>14.197521317829455</v>
      </c>
      <c r="H105" s="21">
        <f t="shared" ca="1" si="7"/>
        <v>0.15950447054336608</v>
      </c>
      <c r="I105">
        <f t="shared" ca="1" si="5"/>
        <v>14.357025788372821</v>
      </c>
      <c r="J105" s="21">
        <f t="shared" ca="1" si="6"/>
        <v>14.516530258916188</v>
      </c>
    </row>
    <row r="106" spans="5:10" x14ac:dyDescent="0.25">
      <c r="E106">
        <v>1984</v>
      </c>
      <c r="F106">
        <v>14.09</v>
      </c>
      <c r="G106" s="21">
        <f t="shared" si="4"/>
        <v>14.203160405485985</v>
      </c>
      <c r="H106" s="21">
        <f t="shared" ca="1" si="7"/>
        <v>0.19748490254154588</v>
      </c>
      <c r="I106">
        <f t="shared" ca="1" si="5"/>
        <v>14.400645308027531</v>
      </c>
      <c r="J106" s="21">
        <f t="shared" ca="1" si="6"/>
        <v>14.598130210569076</v>
      </c>
    </row>
    <row r="107" spans="5:10" x14ac:dyDescent="0.25">
      <c r="E107">
        <v>1985</v>
      </c>
      <c r="F107">
        <v>14.05</v>
      </c>
      <c r="G107" s="21">
        <f t="shared" si="4"/>
        <v>14.208799493142514</v>
      </c>
      <c r="H107" s="21">
        <f t="shared" ca="1" si="7"/>
        <v>0.16685849275079678</v>
      </c>
      <c r="I107">
        <f t="shared" ca="1" si="5"/>
        <v>14.37565798589331</v>
      </c>
      <c r="J107" s="21">
        <f t="shared" ca="1" si="6"/>
        <v>14.542516478644108</v>
      </c>
    </row>
    <row r="108" spans="5:10" x14ac:dyDescent="0.25">
      <c r="E108">
        <v>1986</v>
      </c>
      <c r="F108">
        <v>14.12</v>
      </c>
      <c r="G108" s="21">
        <f t="shared" si="4"/>
        <v>14.214438580799044</v>
      </c>
      <c r="H108" s="21">
        <f t="shared" ca="1" si="7"/>
        <v>0.17043655676193648</v>
      </c>
      <c r="I108">
        <f t="shared" ca="1" si="5"/>
        <v>14.38487513756098</v>
      </c>
      <c r="J108" s="21">
        <f t="shared" ca="1" si="6"/>
        <v>14.555311694322917</v>
      </c>
    </row>
    <row r="109" spans="5:10" x14ac:dyDescent="0.25">
      <c r="E109">
        <v>1987</v>
      </c>
      <c r="F109">
        <v>14.26</v>
      </c>
      <c r="G109" s="21">
        <f t="shared" si="4"/>
        <v>14.220077668455573</v>
      </c>
      <c r="H109" s="21">
        <f t="shared" ca="1" si="7"/>
        <v>4.8976798965333614E-2</v>
      </c>
      <c r="I109">
        <f t="shared" ca="1" si="5"/>
        <v>14.269054467420908</v>
      </c>
      <c r="J109" s="21">
        <f t="shared" ca="1" si="6"/>
        <v>14.318031266386241</v>
      </c>
    </row>
    <row r="110" spans="5:10" x14ac:dyDescent="0.25">
      <c r="E110">
        <v>1988</v>
      </c>
      <c r="F110">
        <v>14.31</v>
      </c>
      <c r="G110" s="21">
        <f t="shared" si="4"/>
        <v>14.225716756112103</v>
      </c>
      <c r="H110" s="21">
        <f t="shared" ca="1" si="7"/>
        <v>0.17026467408471574</v>
      </c>
      <c r="I110">
        <f t="shared" ca="1" si="5"/>
        <v>14.395981430196819</v>
      </c>
      <c r="J110" s="21">
        <f t="shared" ca="1" si="6"/>
        <v>14.566246104281534</v>
      </c>
    </row>
    <row r="111" spans="5:10" x14ac:dyDescent="0.25">
      <c r="E111">
        <v>1989</v>
      </c>
      <c r="F111">
        <v>14.2</v>
      </c>
      <c r="G111" s="21">
        <f t="shared" si="4"/>
        <v>14.231355843768632</v>
      </c>
      <c r="H111" s="21">
        <f t="shared" ca="1" si="7"/>
        <v>2.2550107073885092E-2</v>
      </c>
      <c r="I111">
        <f t="shared" ca="1" si="5"/>
        <v>14.253905950842517</v>
      </c>
      <c r="J111" s="21">
        <f t="shared" ca="1" si="6"/>
        <v>14.276456057916402</v>
      </c>
    </row>
    <row r="112" spans="5:10" x14ac:dyDescent="0.25">
      <c r="E112">
        <v>1990</v>
      </c>
      <c r="F112">
        <v>14.38</v>
      </c>
      <c r="G112" s="21">
        <f t="shared" si="4"/>
        <v>14.236994931425162</v>
      </c>
      <c r="H112" s="21">
        <f t="shared" ca="1" si="7"/>
        <v>5.3613829963523221E-2</v>
      </c>
      <c r="I112">
        <f t="shared" ca="1" si="5"/>
        <v>14.290608761388686</v>
      </c>
      <c r="J112" s="21">
        <f t="shared" ca="1" si="6"/>
        <v>14.344222591352208</v>
      </c>
    </row>
    <row r="113" spans="5:10" x14ac:dyDescent="0.25">
      <c r="E113">
        <v>1991</v>
      </c>
      <c r="F113">
        <v>14.35</v>
      </c>
      <c r="G113" s="21">
        <f t="shared" si="4"/>
        <v>14.242634019081692</v>
      </c>
      <c r="H113" s="21">
        <f t="shared" ca="1" si="7"/>
        <v>-7.6034052135921265E-2</v>
      </c>
      <c r="I113">
        <f t="shared" ca="1" si="5"/>
        <v>14.166599966945771</v>
      </c>
      <c r="J113" s="21">
        <f t="shared" ca="1" si="6"/>
        <v>14.090565914809849</v>
      </c>
    </row>
    <row r="114" spans="5:10" x14ac:dyDescent="0.25">
      <c r="E114">
        <v>1992</v>
      </c>
      <c r="F114">
        <v>14.12</v>
      </c>
      <c r="G114" s="21">
        <f t="shared" si="4"/>
        <v>14.248273106738221</v>
      </c>
      <c r="H114" s="21">
        <f t="shared" ca="1" si="7"/>
        <v>-0.20941396309128651</v>
      </c>
      <c r="I114">
        <f t="shared" ca="1" si="5"/>
        <v>14.038859143646935</v>
      </c>
      <c r="J114" s="21">
        <f t="shared" ca="1" si="6"/>
        <v>13.829445180555648</v>
      </c>
    </row>
    <row r="115" spans="5:10" x14ac:dyDescent="0.25">
      <c r="E115">
        <v>1993</v>
      </c>
      <c r="F115">
        <v>14.14</v>
      </c>
      <c r="G115" s="21">
        <f t="shared" si="4"/>
        <v>14.253912194394751</v>
      </c>
      <c r="H115" s="21">
        <f t="shared" ca="1" si="7"/>
        <v>-0.10551517491442772</v>
      </c>
      <c r="I115">
        <f t="shared" ca="1" si="5"/>
        <v>14.148397019480322</v>
      </c>
      <c r="J115" s="21">
        <f t="shared" ca="1" si="6"/>
        <v>14.042881844565896</v>
      </c>
    </row>
    <row r="116" spans="5:10" x14ac:dyDescent="0.25">
      <c r="E116">
        <v>1994</v>
      </c>
      <c r="F116">
        <v>14.23</v>
      </c>
      <c r="G116" s="21">
        <f t="shared" si="4"/>
        <v>14.25955128205128</v>
      </c>
      <c r="H116" s="21">
        <f t="shared" ca="1" si="7"/>
        <v>4.5280901751353131E-2</v>
      </c>
      <c r="I116">
        <f t="shared" ca="1" si="5"/>
        <v>14.304832183802633</v>
      </c>
      <c r="J116" s="21">
        <f t="shared" ca="1" si="6"/>
        <v>14.350113085553986</v>
      </c>
    </row>
    <row r="117" spans="5:10" x14ac:dyDescent="0.25">
      <c r="E117">
        <v>1995</v>
      </c>
      <c r="F117">
        <v>14.38</v>
      </c>
      <c r="G117" s="21">
        <f t="shared" si="4"/>
        <v>14.26519036970781</v>
      </c>
      <c r="H117" s="21">
        <f t="shared" ca="1" si="7"/>
        <v>0.1277293093142968</v>
      </c>
      <c r="I117">
        <f t="shared" ca="1" si="5"/>
        <v>14.392919679022107</v>
      </c>
      <c r="J117" s="21">
        <f t="shared" ca="1" si="6"/>
        <v>14.520648988336402</v>
      </c>
    </row>
    <row r="118" spans="5:10" x14ac:dyDescent="0.25">
      <c r="E118">
        <v>1996</v>
      </c>
      <c r="F118">
        <v>14.29</v>
      </c>
      <c r="G118" s="21">
        <f t="shared" si="4"/>
        <v>14.270829457364339</v>
      </c>
      <c r="H118" s="21">
        <f t="shared" ca="1" si="7"/>
        <v>2.481607981291975E-3</v>
      </c>
      <c r="I118">
        <f t="shared" ca="1" si="5"/>
        <v>14.273311065345631</v>
      </c>
      <c r="J118" s="21">
        <f t="shared" ca="1" si="6"/>
        <v>14.275792673326924</v>
      </c>
    </row>
    <row r="119" spans="5:10" x14ac:dyDescent="0.25">
      <c r="E119">
        <v>1997</v>
      </c>
      <c r="F119">
        <v>14.39</v>
      </c>
      <c r="G119" s="21">
        <f t="shared" si="4"/>
        <v>14.276468545020869</v>
      </c>
      <c r="H119" s="21">
        <f t="shared" ca="1" si="7"/>
        <v>-0.1367742597270814</v>
      </c>
      <c r="I119">
        <f t="shared" ca="1" si="5"/>
        <v>14.139694285293787</v>
      </c>
      <c r="J119" s="21">
        <f t="shared" ca="1" si="6"/>
        <v>14.002920025566706</v>
      </c>
    </row>
    <row r="120" spans="5:10" x14ac:dyDescent="0.25">
      <c r="E120">
        <v>1998</v>
      </c>
      <c r="F120">
        <v>14.57</v>
      </c>
      <c r="G120" s="21">
        <f t="shared" si="4"/>
        <v>14.282107632677398</v>
      </c>
      <c r="H120" s="21">
        <f t="shared" ca="1" si="7"/>
        <v>5.3358596467834002E-2</v>
      </c>
      <c r="I120">
        <f t="shared" ca="1" si="5"/>
        <v>14.335466229145233</v>
      </c>
      <c r="J120" s="21">
        <f t="shared" ca="1" si="6"/>
        <v>14.388824825613066</v>
      </c>
    </row>
    <row r="121" spans="5:10" x14ac:dyDescent="0.25">
      <c r="E121">
        <v>1999</v>
      </c>
      <c r="F121">
        <v>14.32</v>
      </c>
      <c r="G121" s="21">
        <f t="shared" si="4"/>
        <v>14.287746720333928</v>
      </c>
      <c r="H121" s="21">
        <f t="shared" ca="1" si="7"/>
        <v>0.23761510153828558</v>
      </c>
      <c r="I121">
        <f t="shared" ca="1" si="5"/>
        <v>14.525361821872213</v>
      </c>
      <c r="J121" s="21">
        <f t="shared" ca="1" si="6"/>
        <v>14.762976923410498</v>
      </c>
    </row>
    <row r="122" spans="5:10" x14ac:dyDescent="0.25">
      <c r="E122">
        <v>2000</v>
      </c>
      <c r="F122">
        <v>14.33</v>
      </c>
      <c r="G122" s="21">
        <f t="shared" si="4"/>
        <v>14.293385807990457</v>
      </c>
      <c r="H122" s="21">
        <f t="shared" ca="1" si="7"/>
        <v>5.9756461700906927E-2</v>
      </c>
      <c r="I122">
        <f t="shared" ca="1" si="5"/>
        <v>14.353142269691364</v>
      </c>
      <c r="J122" s="21">
        <f t="shared" ca="1" si="6"/>
        <v>14.412898731392271</v>
      </c>
    </row>
    <row r="123" spans="5:10" x14ac:dyDescent="0.25">
      <c r="E123">
        <v>2001</v>
      </c>
      <c r="F123">
        <v>14.48</v>
      </c>
      <c r="G123" s="21">
        <f t="shared" si="4"/>
        <v>14.299024895646987</v>
      </c>
      <c r="H123" s="21">
        <f t="shared" ca="1" si="7"/>
        <v>0.26011791196891337</v>
      </c>
      <c r="I123">
        <f t="shared" ca="1" si="5"/>
        <v>14.559142807615901</v>
      </c>
      <c r="J123" s="21">
        <f t="shared" ca="1" si="6"/>
        <v>14.819260719584813</v>
      </c>
    </row>
    <row r="124" spans="5:10" x14ac:dyDescent="0.25">
      <c r="E124">
        <v>2002</v>
      </c>
      <c r="F124">
        <v>14.56</v>
      </c>
      <c r="G124" s="21">
        <f t="shared" si="4"/>
        <v>14.304663983303517</v>
      </c>
      <c r="H124" s="21">
        <f t="shared" ca="1" si="7"/>
        <v>0.25519678298425535</v>
      </c>
      <c r="I124">
        <f t="shared" ca="1" si="5"/>
        <v>14.559860766287771</v>
      </c>
      <c r="J124" s="21">
        <f t="shared" ca="1" si="6"/>
        <v>14.815057549272026</v>
      </c>
    </row>
    <row r="125" spans="5:10" x14ac:dyDescent="0.25">
      <c r="E125">
        <v>2003</v>
      </c>
      <c r="F125">
        <v>14.55</v>
      </c>
      <c r="G125" s="21">
        <f t="shared" si="4"/>
        <v>14.310303070960046</v>
      </c>
      <c r="H125" s="21">
        <f t="shared" ca="1" si="7"/>
        <v>0.14662171952311448</v>
      </c>
      <c r="I125">
        <f t="shared" ca="1" si="5"/>
        <v>14.456924790483161</v>
      </c>
      <c r="J125" s="21">
        <f t="shared" ca="1" si="6"/>
        <v>14.603546510006275</v>
      </c>
    </row>
    <row r="126" spans="5:10" x14ac:dyDescent="0.25">
      <c r="E126">
        <v>2004</v>
      </c>
      <c r="F126">
        <v>14.48</v>
      </c>
      <c r="G126" s="21">
        <f t="shared" si="4"/>
        <v>14.315942158616576</v>
      </c>
      <c r="H126" s="21">
        <f t="shared" ca="1" si="7"/>
        <v>5.6306795487524472E-2</v>
      </c>
      <c r="I126">
        <f t="shared" ca="1" si="5"/>
        <v>14.3722489541041</v>
      </c>
      <c r="J126" s="21">
        <f t="shared" ca="1" si="6"/>
        <v>14.428555749591624</v>
      </c>
    </row>
    <row r="127" spans="5:10" x14ac:dyDescent="0.25">
      <c r="E127">
        <v>2005</v>
      </c>
      <c r="F127">
        <v>14.62</v>
      </c>
      <c r="G127" s="21">
        <f t="shared" si="4"/>
        <v>14.321581246273105</v>
      </c>
      <c r="H127" s="21">
        <f t="shared" ca="1" si="7"/>
        <v>4.6478306607623962E-2</v>
      </c>
      <c r="I127">
        <f t="shared" ca="1" si="5"/>
        <v>14.368059552880728</v>
      </c>
      <c r="J127" s="21">
        <f t="shared" ca="1" si="6"/>
        <v>14.414537859488354</v>
      </c>
    </row>
    <row r="128" spans="5:10" x14ac:dyDescent="0.25">
      <c r="E128">
        <v>2006</v>
      </c>
      <c r="F128">
        <v>14.54</v>
      </c>
      <c r="G128" s="21">
        <f t="shared" si="4"/>
        <v>14.327220333929635</v>
      </c>
      <c r="H128" s="21">
        <f t="shared" ca="1" si="7"/>
        <v>-5.1902229452535226E-2</v>
      </c>
      <c r="I128">
        <f t="shared" ca="1" si="5"/>
        <v>14.275318104477099</v>
      </c>
      <c r="J128" s="21">
        <f t="shared" ca="1" si="6"/>
        <v>14.223415875024564</v>
      </c>
    </row>
    <row r="129" spans="5:10" x14ac:dyDescent="0.25">
      <c r="E129">
        <v>2007</v>
      </c>
      <c r="F129">
        <v>14.56</v>
      </c>
      <c r="G129" s="21">
        <f t="shared" si="4"/>
        <v>14.332859421586164</v>
      </c>
      <c r="H129" s="21">
        <f t="shared" ca="1" si="7"/>
        <v>-0.10641811473892798</v>
      </c>
      <c r="I129">
        <f t="shared" ca="1" si="5"/>
        <v>14.226441306847237</v>
      </c>
      <c r="J129" s="21">
        <f t="shared" ca="1" si="6"/>
        <v>14.120023192108308</v>
      </c>
    </row>
    <row r="130" spans="5:10" x14ac:dyDescent="0.25">
      <c r="E130">
        <v>2008</v>
      </c>
      <c r="F130">
        <v>14.44</v>
      </c>
      <c r="G130" s="21">
        <f t="shared" si="4"/>
        <v>14.338498509242692</v>
      </c>
      <c r="H130" s="21">
        <f t="shared" ca="1" si="7"/>
        <v>-7.7581464064138822E-2</v>
      </c>
      <c r="I130">
        <f t="shared" ca="1" si="5"/>
        <v>14.260917045178553</v>
      </c>
      <c r="J130" s="21">
        <f t="shared" ca="1" si="6"/>
        <v>14.183335581114415</v>
      </c>
    </row>
    <row r="131" spans="5:10" x14ac:dyDescent="0.25">
      <c r="E131">
        <v>2009</v>
      </c>
      <c r="F131">
        <v>14.63</v>
      </c>
      <c r="G131" s="21">
        <f t="shared" ref="G131:G145" si="8">E131*SLOPE($F$2:$F$130,$E$2:$E$130) + INTERCEPT($F$2:$F$130,$E$2:$E$130)</f>
        <v>14.344137596899222</v>
      </c>
      <c r="H131" s="21">
        <f t="shared" ca="1" si="7"/>
        <v>-0.13909371790328021</v>
      </c>
      <c r="I131">
        <f t="shared" ref="I131:I145" ca="1" si="9">G131+H131</f>
        <v>14.205043878995941</v>
      </c>
      <c r="J131" s="21">
        <f t="shared" ref="J131:J145" ca="1" si="10">G131+2*H131</f>
        <v>14.065950161092662</v>
      </c>
    </row>
    <row r="132" spans="5:10" x14ac:dyDescent="0.25">
      <c r="E132">
        <v>2010</v>
      </c>
      <c r="F132">
        <v>14.76</v>
      </c>
      <c r="G132" s="21">
        <f t="shared" si="8"/>
        <v>14.349776684555751</v>
      </c>
      <c r="H132" s="21">
        <f t="shared" ref="H132:H145" ca="1" si="11" xml:space="preserve"> 0.62 * H131 + 0.098*NORMINV(RAND(),0,1)</f>
        <v>-5.8457513997000242E-2</v>
      </c>
      <c r="I132">
        <f t="shared" ca="1" si="9"/>
        <v>14.291319170558751</v>
      </c>
      <c r="J132" s="21">
        <f t="shared" ca="1" si="10"/>
        <v>14.232861656561751</v>
      </c>
    </row>
    <row r="133" spans="5:10" x14ac:dyDescent="0.25">
      <c r="E133">
        <v>2011</v>
      </c>
      <c r="F133">
        <v>14.6</v>
      </c>
      <c r="G133" s="21">
        <f t="shared" si="8"/>
        <v>14.355415772212281</v>
      </c>
      <c r="H133" s="21">
        <f t="shared" ca="1" si="11"/>
        <v>1.7216728368601879E-2</v>
      </c>
      <c r="I133">
        <f t="shared" ca="1" si="9"/>
        <v>14.372632500580883</v>
      </c>
      <c r="J133" s="21">
        <f t="shared" ca="1" si="10"/>
        <v>14.389849228949485</v>
      </c>
    </row>
    <row r="134" spans="5:10" x14ac:dyDescent="0.25">
      <c r="E134">
        <v>2012</v>
      </c>
      <c r="F134">
        <v>14.64</v>
      </c>
      <c r="G134" s="21">
        <f t="shared" si="8"/>
        <v>14.36105485986881</v>
      </c>
      <c r="H134" s="21">
        <f t="shared" ca="1" si="11"/>
        <v>-2.4304806618905387E-2</v>
      </c>
      <c r="I134">
        <f t="shared" ca="1" si="9"/>
        <v>14.336750053249904</v>
      </c>
      <c r="J134" s="21">
        <f t="shared" ca="1" si="10"/>
        <v>14.312445246630999</v>
      </c>
    </row>
    <row r="135" spans="5:10" x14ac:dyDescent="0.25">
      <c r="E135">
        <v>2013</v>
      </c>
      <c r="F135">
        <v>14.73</v>
      </c>
      <c r="G135" s="21">
        <f t="shared" si="8"/>
        <v>14.36669394752534</v>
      </c>
      <c r="H135" s="21">
        <f t="shared" ca="1" si="11"/>
        <v>-0.13304793841364981</v>
      </c>
      <c r="I135">
        <f t="shared" ca="1" si="9"/>
        <v>14.233646009111689</v>
      </c>
      <c r="J135" s="21">
        <f t="shared" ca="1" si="10"/>
        <v>14.100598070698041</v>
      </c>
    </row>
    <row r="136" spans="5:10" x14ac:dyDescent="0.25">
      <c r="E136">
        <v>2014</v>
      </c>
      <c r="F136">
        <v>14.78</v>
      </c>
      <c r="G136" s="21">
        <f t="shared" si="8"/>
        <v>14.372333035181869</v>
      </c>
      <c r="H136" s="21">
        <f t="shared" ca="1" si="11"/>
        <v>-0.21704152096712223</v>
      </c>
      <c r="I136">
        <f t="shared" ca="1" si="9"/>
        <v>14.155291514214747</v>
      </c>
      <c r="J136" s="21">
        <f t="shared" ca="1" si="10"/>
        <v>13.938249993247625</v>
      </c>
    </row>
    <row r="137" spans="5:10" x14ac:dyDescent="0.25">
      <c r="E137">
        <v>2015</v>
      </c>
      <c r="F137">
        <v>14.87</v>
      </c>
      <c r="G137" s="21">
        <f t="shared" si="8"/>
        <v>14.377972122838399</v>
      </c>
      <c r="H137" s="21">
        <f t="shared" ca="1" si="11"/>
        <v>-9.7325025539895318E-2</v>
      </c>
      <c r="I137">
        <f t="shared" ca="1" si="9"/>
        <v>14.280647097298504</v>
      </c>
      <c r="J137" s="21">
        <f t="shared" ca="1" si="10"/>
        <v>14.183322071758608</v>
      </c>
    </row>
    <row r="138" spans="5:10" x14ac:dyDescent="0.25">
      <c r="E138">
        <v>2016</v>
      </c>
      <c r="F138">
        <v>15.02</v>
      </c>
      <c r="G138" s="21">
        <f t="shared" si="8"/>
        <v>14.383611210494928</v>
      </c>
      <c r="H138" s="21">
        <f t="shared" ca="1" si="11"/>
        <v>6.2545745534028779E-3</v>
      </c>
      <c r="I138">
        <f t="shared" ca="1" si="9"/>
        <v>14.389865785048331</v>
      </c>
      <c r="J138" s="21">
        <f t="shared" ca="1" si="10"/>
        <v>14.396120359601735</v>
      </c>
    </row>
    <row r="139" spans="5:10" x14ac:dyDescent="0.25">
      <c r="E139">
        <v>2017</v>
      </c>
      <c r="F139">
        <v>14.91</v>
      </c>
      <c r="G139" s="21">
        <f t="shared" si="8"/>
        <v>14.389250298151458</v>
      </c>
      <c r="H139" s="21">
        <f t="shared" ca="1" si="11"/>
        <v>9.6719200881897199E-2</v>
      </c>
      <c r="I139">
        <f t="shared" ca="1" si="9"/>
        <v>14.485969499033356</v>
      </c>
      <c r="J139" s="21">
        <f t="shared" ca="1" si="10"/>
        <v>14.582688699915252</v>
      </c>
    </row>
    <row r="140" spans="5:10" x14ac:dyDescent="0.25">
      <c r="E140">
        <v>2018</v>
      </c>
      <c r="F140">
        <v>14.88</v>
      </c>
      <c r="G140" s="21">
        <f t="shared" si="8"/>
        <v>14.394889385807987</v>
      </c>
      <c r="H140" s="21">
        <f t="shared" ca="1" si="11"/>
        <v>0.21668998142908147</v>
      </c>
      <c r="I140">
        <f t="shared" ca="1" si="9"/>
        <v>14.611579367237068</v>
      </c>
      <c r="J140" s="21">
        <f t="shared" ca="1" si="10"/>
        <v>14.828269348666151</v>
      </c>
    </row>
    <row r="141" spans="5:10" x14ac:dyDescent="0.25">
      <c r="E141">
        <v>2019</v>
      </c>
      <c r="F141">
        <v>14.93</v>
      </c>
      <c r="G141" s="21">
        <f t="shared" si="8"/>
        <v>14.400528473464517</v>
      </c>
      <c r="H141" s="21">
        <f t="shared" ca="1" si="11"/>
        <v>0.18498131684181862</v>
      </c>
      <c r="I141">
        <f t="shared" ca="1" si="9"/>
        <v>14.585509790306336</v>
      </c>
      <c r="J141" s="21">
        <f t="shared" ca="1" si="10"/>
        <v>14.770491107148153</v>
      </c>
    </row>
    <row r="142" spans="5:10" x14ac:dyDescent="0.25">
      <c r="E142">
        <v>2020</v>
      </c>
      <c r="F142">
        <v>15.05</v>
      </c>
      <c r="G142" s="21">
        <f t="shared" si="8"/>
        <v>14.406167561121046</v>
      </c>
      <c r="H142" s="21">
        <f t="shared" ca="1" si="11"/>
        <v>0.21271467528321039</v>
      </c>
      <c r="I142">
        <f t="shared" ca="1" si="9"/>
        <v>14.618882236404257</v>
      </c>
      <c r="J142" s="21">
        <f t="shared" ca="1" si="10"/>
        <v>14.831596911687468</v>
      </c>
    </row>
    <row r="143" spans="5:10" x14ac:dyDescent="0.25">
      <c r="E143">
        <v>2021</v>
      </c>
      <c r="F143">
        <v>14.91</v>
      </c>
      <c r="G143" s="21">
        <f t="shared" si="8"/>
        <v>14.411806648777576</v>
      </c>
      <c r="H143" s="21">
        <f t="shared" ca="1" si="11"/>
        <v>5.0440068834054899E-2</v>
      </c>
      <c r="I143">
        <f t="shared" ca="1" si="9"/>
        <v>14.462246717611631</v>
      </c>
      <c r="J143" s="21">
        <f t="shared" ca="1" si="10"/>
        <v>14.512686786445686</v>
      </c>
    </row>
    <row r="144" spans="5:10" x14ac:dyDescent="0.25">
      <c r="E144">
        <v>2022</v>
      </c>
      <c r="F144">
        <v>14.98</v>
      </c>
      <c r="G144" s="21">
        <f t="shared" si="8"/>
        <v>14.417445736434106</v>
      </c>
      <c r="H144" s="21">
        <f t="shared" ca="1" si="11"/>
        <v>6.211247040973035E-2</v>
      </c>
      <c r="I144">
        <f t="shared" ca="1" si="9"/>
        <v>14.479558206843835</v>
      </c>
      <c r="J144" s="21">
        <f t="shared" ca="1" si="10"/>
        <v>14.541670677253567</v>
      </c>
    </row>
    <row r="145" spans="5:10" x14ac:dyDescent="0.25">
      <c r="E145">
        <v>2023</v>
      </c>
      <c r="F145">
        <v>15.01</v>
      </c>
      <c r="G145" s="21">
        <f t="shared" si="8"/>
        <v>14.423084824090635</v>
      </c>
      <c r="H145" s="21">
        <f t="shared" ca="1" si="11"/>
        <v>0.19160500492229357</v>
      </c>
      <c r="I145">
        <f t="shared" ca="1" si="9"/>
        <v>14.614689829012928</v>
      </c>
      <c r="J145" s="21">
        <f t="shared" ca="1" si="10"/>
        <v>14.806294833935222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D5FD-4800-4868-BF1C-B6C1D48B15A6}">
  <dimension ref="A1:R105"/>
  <sheetViews>
    <sheetView tabSelected="1" topLeftCell="A85" zoomScale="70" zoomScaleNormal="70" workbookViewId="0">
      <selection activeCell="G35" sqref="G35"/>
    </sheetView>
  </sheetViews>
  <sheetFormatPr defaultColWidth="12.42578125" defaultRowHeight="15" x14ac:dyDescent="0.25"/>
  <cols>
    <col min="1" max="1" width="16" customWidth="1"/>
    <col min="2" max="2" width="13.7109375" customWidth="1"/>
    <col min="3" max="3" width="13.85546875" customWidth="1"/>
    <col min="4" max="4" width="13.42578125" customWidth="1"/>
    <col min="5" max="5" width="13.85546875" customWidth="1"/>
    <col min="6" max="6" width="12.42578125" customWidth="1"/>
    <col min="257" max="257" width="16" customWidth="1"/>
    <col min="258" max="258" width="13.7109375" customWidth="1"/>
    <col min="259" max="259" width="13.85546875" customWidth="1"/>
    <col min="260" max="260" width="13.42578125" customWidth="1"/>
    <col min="261" max="261" width="13.85546875" customWidth="1"/>
    <col min="513" max="513" width="16" customWidth="1"/>
    <col min="514" max="514" width="13.7109375" customWidth="1"/>
    <col min="515" max="515" width="13.85546875" customWidth="1"/>
    <col min="516" max="516" width="13.42578125" customWidth="1"/>
    <col min="517" max="517" width="13.85546875" customWidth="1"/>
    <col min="769" max="769" width="16" customWidth="1"/>
    <col min="770" max="770" width="13.7109375" customWidth="1"/>
    <col min="771" max="771" width="13.85546875" customWidth="1"/>
    <col min="772" max="772" width="13.42578125" customWidth="1"/>
    <col min="773" max="773" width="13.85546875" customWidth="1"/>
    <col min="1025" max="1025" width="16" customWidth="1"/>
    <col min="1026" max="1026" width="13.7109375" customWidth="1"/>
    <col min="1027" max="1027" width="13.85546875" customWidth="1"/>
    <col min="1028" max="1028" width="13.42578125" customWidth="1"/>
    <col min="1029" max="1029" width="13.85546875" customWidth="1"/>
    <col min="1281" max="1281" width="16" customWidth="1"/>
    <col min="1282" max="1282" width="13.7109375" customWidth="1"/>
    <col min="1283" max="1283" width="13.85546875" customWidth="1"/>
    <col min="1284" max="1284" width="13.42578125" customWidth="1"/>
    <col min="1285" max="1285" width="13.85546875" customWidth="1"/>
    <col min="1537" max="1537" width="16" customWidth="1"/>
    <col min="1538" max="1538" width="13.7109375" customWidth="1"/>
    <col min="1539" max="1539" width="13.85546875" customWidth="1"/>
    <col min="1540" max="1540" width="13.42578125" customWidth="1"/>
    <col min="1541" max="1541" width="13.85546875" customWidth="1"/>
    <col min="1793" max="1793" width="16" customWidth="1"/>
    <col min="1794" max="1794" width="13.7109375" customWidth="1"/>
    <col min="1795" max="1795" width="13.85546875" customWidth="1"/>
    <col min="1796" max="1796" width="13.42578125" customWidth="1"/>
    <col min="1797" max="1797" width="13.85546875" customWidth="1"/>
    <col min="2049" max="2049" width="16" customWidth="1"/>
    <col min="2050" max="2050" width="13.7109375" customWidth="1"/>
    <col min="2051" max="2051" width="13.85546875" customWidth="1"/>
    <col min="2052" max="2052" width="13.42578125" customWidth="1"/>
    <col min="2053" max="2053" width="13.85546875" customWidth="1"/>
    <col min="2305" max="2305" width="16" customWidth="1"/>
    <col min="2306" max="2306" width="13.7109375" customWidth="1"/>
    <col min="2307" max="2307" width="13.85546875" customWidth="1"/>
    <col min="2308" max="2308" width="13.42578125" customWidth="1"/>
    <col min="2309" max="2309" width="13.85546875" customWidth="1"/>
    <col min="2561" max="2561" width="16" customWidth="1"/>
    <col min="2562" max="2562" width="13.7109375" customWidth="1"/>
    <col min="2563" max="2563" width="13.85546875" customWidth="1"/>
    <col min="2564" max="2564" width="13.42578125" customWidth="1"/>
    <col min="2565" max="2565" width="13.85546875" customWidth="1"/>
    <col min="2817" max="2817" width="16" customWidth="1"/>
    <col min="2818" max="2818" width="13.7109375" customWidth="1"/>
    <col min="2819" max="2819" width="13.85546875" customWidth="1"/>
    <col min="2820" max="2820" width="13.42578125" customWidth="1"/>
    <col min="2821" max="2821" width="13.85546875" customWidth="1"/>
    <col min="3073" max="3073" width="16" customWidth="1"/>
    <col min="3074" max="3074" width="13.7109375" customWidth="1"/>
    <col min="3075" max="3075" width="13.85546875" customWidth="1"/>
    <col min="3076" max="3076" width="13.42578125" customWidth="1"/>
    <col min="3077" max="3077" width="13.85546875" customWidth="1"/>
    <col min="3329" max="3329" width="16" customWidth="1"/>
    <col min="3330" max="3330" width="13.7109375" customWidth="1"/>
    <col min="3331" max="3331" width="13.85546875" customWidth="1"/>
    <col min="3332" max="3332" width="13.42578125" customWidth="1"/>
    <col min="3333" max="3333" width="13.85546875" customWidth="1"/>
    <col min="3585" max="3585" width="16" customWidth="1"/>
    <col min="3586" max="3586" width="13.7109375" customWidth="1"/>
    <col min="3587" max="3587" width="13.85546875" customWidth="1"/>
    <col min="3588" max="3588" width="13.42578125" customWidth="1"/>
    <col min="3589" max="3589" width="13.85546875" customWidth="1"/>
    <col min="3841" max="3841" width="16" customWidth="1"/>
    <col min="3842" max="3842" width="13.7109375" customWidth="1"/>
    <col min="3843" max="3843" width="13.85546875" customWidth="1"/>
    <col min="3844" max="3844" width="13.42578125" customWidth="1"/>
    <col min="3845" max="3845" width="13.85546875" customWidth="1"/>
    <col min="4097" max="4097" width="16" customWidth="1"/>
    <col min="4098" max="4098" width="13.7109375" customWidth="1"/>
    <col min="4099" max="4099" width="13.85546875" customWidth="1"/>
    <col min="4100" max="4100" width="13.42578125" customWidth="1"/>
    <col min="4101" max="4101" width="13.85546875" customWidth="1"/>
    <col min="4353" max="4353" width="16" customWidth="1"/>
    <col min="4354" max="4354" width="13.7109375" customWidth="1"/>
    <col min="4355" max="4355" width="13.85546875" customWidth="1"/>
    <col min="4356" max="4356" width="13.42578125" customWidth="1"/>
    <col min="4357" max="4357" width="13.85546875" customWidth="1"/>
    <col min="4609" max="4609" width="16" customWidth="1"/>
    <col min="4610" max="4610" width="13.7109375" customWidth="1"/>
    <col min="4611" max="4611" width="13.85546875" customWidth="1"/>
    <col min="4612" max="4612" width="13.42578125" customWidth="1"/>
    <col min="4613" max="4613" width="13.85546875" customWidth="1"/>
    <col min="4865" max="4865" width="16" customWidth="1"/>
    <col min="4866" max="4866" width="13.7109375" customWidth="1"/>
    <col min="4867" max="4867" width="13.85546875" customWidth="1"/>
    <col min="4868" max="4868" width="13.42578125" customWidth="1"/>
    <col min="4869" max="4869" width="13.85546875" customWidth="1"/>
    <col min="5121" max="5121" width="16" customWidth="1"/>
    <col min="5122" max="5122" width="13.7109375" customWidth="1"/>
    <col min="5123" max="5123" width="13.85546875" customWidth="1"/>
    <col min="5124" max="5124" width="13.42578125" customWidth="1"/>
    <col min="5125" max="5125" width="13.85546875" customWidth="1"/>
    <col min="5377" max="5377" width="16" customWidth="1"/>
    <col min="5378" max="5378" width="13.7109375" customWidth="1"/>
    <col min="5379" max="5379" width="13.85546875" customWidth="1"/>
    <col min="5380" max="5380" width="13.42578125" customWidth="1"/>
    <col min="5381" max="5381" width="13.85546875" customWidth="1"/>
    <col min="5633" max="5633" width="16" customWidth="1"/>
    <col min="5634" max="5634" width="13.7109375" customWidth="1"/>
    <col min="5635" max="5635" width="13.85546875" customWidth="1"/>
    <col min="5636" max="5636" width="13.42578125" customWidth="1"/>
    <col min="5637" max="5637" width="13.85546875" customWidth="1"/>
    <col min="5889" max="5889" width="16" customWidth="1"/>
    <col min="5890" max="5890" width="13.7109375" customWidth="1"/>
    <col min="5891" max="5891" width="13.85546875" customWidth="1"/>
    <col min="5892" max="5892" width="13.42578125" customWidth="1"/>
    <col min="5893" max="5893" width="13.85546875" customWidth="1"/>
    <col min="6145" max="6145" width="16" customWidth="1"/>
    <col min="6146" max="6146" width="13.7109375" customWidth="1"/>
    <col min="6147" max="6147" width="13.85546875" customWidth="1"/>
    <col min="6148" max="6148" width="13.42578125" customWidth="1"/>
    <col min="6149" max="6149" width="13.85546875" customWidth="1"/>
    <col min="6401" max="6401" width="16" customWidth="1"/>
    <col min="6402" max="6402" width="13.7109375" customWidth="1"/>
    <col min="6403" max="6403" width="13.85546875" customWidth="1"/>
    <col min="6404" max="6404" width="13.42578125" customWidth="1"/>
    <col min="6405" max="6405" width="13.85546875" customWidth="1"/>
    <col min="6657" max="6657" width="16" customWidth="1"/>
    <col min="6658" max="6658" width="13.7109375" customWidth="1"/>
    <col min="6659" max="6659" width="13.85546875" customWidth="1"/>
    <col min="6660" max="6660" width="13.42578125" customWidth="1"/>
    <col min="6661" max="6661" width="13.85546875" customWidth="1"/>
    <col min="6913" max="6913" width="16" customWidth="1"/>
    <col min="6914" max="6914" width="13.7109375" customWidth="1"/>
    <col min="6915" max="6915" width="13.85546875" customWidth="1"/>
    <col min="6916" max="6916" width="13.42578125" customWidth="1"/>
    <col min="6917" max="6917" width="13.85546875" customWidth="1"/>
    <col min="7169" max="7169" width="16" customWidth="1"/>
    <col min="7170" max="7170" width="13.7109375" customWidth="1"/>
    <col min="7171" max="7171" width="13.85546875" customWidth="1"/>
    <col min="7172" max="7172" width="13.42578125" customWidth="1"/>
    <col min="7173" max="7173" width="13.85546875" customWidth="1"/>
    <col min="7425" max="7425" width="16" customWidth="1"/>
    <col min="7426" max="7426" width="13.7109375" customWidth="1"/>
    <col min="7427" max="7427" width="13.85546875" customWidth="1"/>
    <col min="7428" max="7428" width="13.42578125" customWidth="1"/>
    <col min="7429" max="7429" width="13.85546875" customWidth="1"/>
    <col min="7681" max="7681" width="16" customWidth="1"/>
    <col min="7682" max="7682" width="13.7109375" customWidth="1"/>
    <col min="7683" max="7683" width="13.85546875" customWidth="1"/>
    <col min="7684" max="7684" width="13.42578125" customWidth="1"/>
    <col min="7685" max="7685" width="13.85546875" customWidth="1"/>
    <col min="7937" max="7937" width="16" customWidth="1"/>
    <col min="7938" max="7938" width="13.7109375" customWidth="1"/>
    <col min="7939" max="7939" width="13.85546875" customWidth="1"/>
    <col min="7940" max="7940" width="13.42578125" customWidth="1"/>
    <col min="7941" max="7941" width="13.85546875" customWidth="1"/>
    <col min="8193" max="8193" width="16" customWidth="1"/>
    <col min="8194" max="8194" width="13.7109375" customWidth="1"/>
    <col min="8195" max="8195" width="13.85546875" customWidth="1"/>
    <col min="8196" max="8196" width="13.42578125" customWidth="1"/>
    <col min="8197" max="8197" width="13.85546875" customWidth="1"/>
    <col min="8449" max="8449" width="16" customWidth="1"/>
    <col min="8450" max="8450" width="13.7109375" customWidth="1"/>
    <col min="8451" max="8451" width="13.85546875" customWidth="1"/>
    <col min="8452" max="8452" width="13.42578125" customWidth="1"/>
    <col min="8453" max="8453" width="13.85546875" customWidth="1"/>
    <col min="8705" max="8705" width="16" customWidth="1"/>
    <col min="8706" max="8706" width="13.7109375" customWidth="1"/>
    <col min="8707" max="8707" width="13.85546875" customWidth="1"/>
    <col min="8708" max="8708" width="13.42578125" customWidth="1"/>
    <col min="8709" max="8709" width="13.85546875" customWidth="1"/>
    <col min="8961" max="8961" width="16" customWidth="1"/>
    <col min="8962" max="8962" width="13.7109375" customWidth="1"/>
    <col min="8963" max="8963" width="13.85546875" customWidth="1"/>
    <col min="8964" max="8964" width="13.42578125" customWidth="1"/>
    <col min="8965" max="8965" width="13.85546875" customWidth="1"/>
    <col min="9217" max="9217" width="16" customWidth="1"/>
    <col min="9218" max="9218" width="13.7109375" customWidth="1"/>
    <col min="9219" max="9219" width="13.85546875" customWidth="1"/>
    <col min="9220" max="9220" width="13.42578125" customWidth="1"/>
    <col min="9221" max="9221" width="13.85546875" customWidth="1"/>
    <col min="9473" max="9473" width="16" customWidth="1"/>
    <col min="9474" max="9474" width="13.7109375" customWidth="1"/>
    <col min="9475" max="9475" width="13.85546875" customWidth="1"/>
    <col min="9476" max="9476" width="13.42578125" customWidth="1"/>
    <col min="9477" max="9477" width="13.85546875" customWidth="1"/>
    <col min="9729" max="9729" width="16" customWidth="1"/>
    <col min="9730" max="9730" width="13.7109375" customWidth="1"/>
    <col min="9731" max="9731" width="13.85546875" customWidth="1"/>
    <col min="9732" max="9732" width="13.42578125" customWidth="1"/>
    <col min="9733" max="9733" width="13.85546875" customWidth="1"/>
    <col min="9985" max="9985" width="16" customWidth="1"/>
    <col min="9986" max="9986" width="13.7109375" customWidth="1"/>
    <col min="9987" max="9987" width="13.85546875" customWidth="1"/>
    <col min="9988" max="9988" width="13.42578125" customWidth="1"/>
    <col min="9989" max="9989" width="13.85546875" customWidth="1"/>
    <col min="10241" max="10241" width="16" customWidth="1"/>
    <col min="10242" max="10242" width="13.7109375" customWidth="1"/>
    <col min="10243" max="10243" width="13.85546875" customWidth="1"/>
    <col min="10244" max="10244" width="13.42578125" customWidth="1"/>
    <col min="10245" max="10245" width="13.85546875" customWidth="1"/>
    <col min="10497" max="10497" width="16" customWidth="1"/>
    <col min="10498" max="10498" width="13.7109375" customWidth="1"/>
    <col min="10499" max="10499" width="13.85546875" customWidth="1"/>
    <col min="10500" max="10500" width="13.42578125" customWidth="1"/>
    <col min="10501" max="10501" width="13.85546875" customWidth="1"/>
    <col min="10753" max="10753" width="16" customWidth="1"/>
    <col min="10754" max="10754" width="13.7109375" customWidth="1"/>
    <col min="10755" max="10755" width="13.85546875" customWidth="1"/>
    <col min="10756" max="10756" width="13.42578125" customWidth="1"/>
    <col min="10757" max="10757" width="13.85546875" customWidth="1"/>
    <col min="11009" max="11009" width="16" customWidth="1"/>
    <col min="11010" max="11010" width="13.7109375" customWidth="1"/>
    <col min="11011" max="11011" width="13.85546875" customWidth="1"/>
    <col min="11012" max="11012" width="13.42578125" customWidth="1"/>
    <col min="11013" max="11013" width="13.85546875" customWidth="1"/>
    <col min="11265" max="11265" width="16" customWidth="1"/>
    <col min="11266" max="11266" width="13.7109375" customWidth="1"/>
    <col min="11267" max="11267" width="13.85546875" customWidth="1"/>
    <col min="11268" max="11268" width="13.42578125" customWidth="1"/>
    <col min="11269" max="11269" width="13.85546875" customWidth="1"/>
    <col min="11521" max="11521" width="16" customWidth="1"/>
    <col min="11522" max="11522" width="13.7109375" customWidth="1"/>
    <col min="11523" max="11523" width="13.85546875" customWidth="1"/>
    <col min="11524" max="11524" width="13.42578125" customWidth="1"/>
    <col min="11525" max="11525" width="13.85546875" customWidth="1"/>
    <col min="11777" max="11777" width="16" customWidth="1"/>
    <col min="11778" max="11778" width="13.7109375" customWidth="1"/>
    <col min="11779" max="11779" width="13.85546875" customWidth="1"/>
    <col min="11780" max="11780" width="13.42578125" customWidth="1"/>
    <col min="11781" max="11781" width="13.85546875" customWidth="1"/>
    <col min="12033" max="12033" width="16" customWidth="1"/>
    <col min="12034" max="12034" width="13.7109375" customWidth="1"/>
    <col min="12035" max="12035" width="13.85546875" customWidth="1"/>
    <col min="12036" max="12036" width="13.42578125" customWidth="1"/>
    <col min="12037" max="12037" width="13.85546875" customWidth="1"/>
    <col min="12289" max="12289" width="16" customWidth="1"/>
    <col min="12290" max="12290" width="13.7109375" customWidth="1"/>
    <col min="12291" max="12291" width="13.85546875" customWidth="1"/>
    <col min="12292" max="12292" width="13.42578125" customWidth="1"/>
    <col min="12293" max="12293" width="13.85546875" customWidth="1"/>
    <col min="12545" max="12545" width="16" customWidth="1"/>
    <col min="12546" max="12546" width="13.7109375" customWidth="1"/>
    <col min="12547" max="12547" width="13.85546875" customWidth="1"/>
    <col min="12548" max="12548" width="13.42578125" customWidth="1"/>
    <col min="12549" max="12549" width="13.85546875" customWidth="1"/>
    <col min="12801" max="12801" width="16" customWidth="1"/>
    <col min="12802" max="12802" width="13.7109375" customWidth="1"/>
    <col min="12803" max="12803" width="13.85546875" customWidth="1"/>
    <col min="12804" max="12804" width="13.42578125" customWidth="1"/>
    <col min="12805" max="12805" width="13.85546875" customWidth="1"/>
    <col min="13057" max="13057" width="16" customWidth="1"/>
    <col min="13058" max="13058" width="13.7109375" customWidth="1"/>
    <col min="13059" max="13059" width="13.85546875" customWidth="1"/>
    <col min="13060" max="13060" width="13.42578125" customWidth="1"/>
    <col min="13061" max="13061" width="13.85546875" customWidth="1"/>
    <col min="13313" max="13313" width="16" customWidth="1"/>
    <col min="13314" max="13314" width="13.7109375" customWidth="1"/>
    <col min="13315" max="13315" width="13.85546875" customWidth="1"/>
    <col min="13316" max="13316" width="13.42578125" customWidth="1"/>
    <col min="13317" max="13317" width="13.85546875" customWidth="1"/>
    <col min="13569" max="13569" width="16" customWidth="1"/>
    <col min="13570" max="13570" width="13.7109375" customWidth="1"/>
    <col min="13571" max="13571" width="13.85546875" customWidth="1"/>
    <col min="13572" max="13572" width="13.42578125" customWidth="1"/>
    <col min="13573" max="13573" width="13.85546875" customWidth="1"/>
    <col min="13825" max="13825" width="16" customWidth="1"/>
    <col min="13826" max="13826" width="13.7109375" customWidth="1"/>
    <col min="13827" max="13827" width="13.85546875" customWidth="1"/>
    <col min="13828" max="13828" width="13.42578125" customWidth="1"/>
    <col min="13829" max="13829" width="13.85546875" customWidth="1"/>
    <col min="14081" max="14081" width="16" customWidth="1"/>
    <col min="14082" max="14082" width="13.7109375" customWidth="1"/>
    <col min="14083" max="14083" width="13.85546875" customWidth="1"/>
    <col min="14084" max="14084" width="13.42578125" customWidth="1"/>
    <col min="14085" max="14085" width="13.85546875" customWidth="1"/>
    <col min="14337" max="14337" width="16" customWidth="1"/>
    <col min="14338" max="14338" width="13.7109375" customWidth="1"/>
    <col min="14339" max="14339" width="13.85546875" customWidth="1"/>
    <col min="14340" max="14340" width="13.42578125" customWidth="1"/>
    <col min="14341" max="14341" width="13.85546875" customWidth="1"/>
    <col min="14593" max="14593" width="16" customWidth="1"/>
    <col min="14594" max="14594" width="13.7109375" customWidth="1"/>
    <col min="14595" max="14595" width="13.85546875" customWidth="1"/>
    <col min="14596" max="14596" width="13.42578125" customWidth="1"/>
    <col min="14597" max="14597" width="13.85546875" customWidth="1"/>
    <col min="14849" max="14849" width="16" customWidth="1"/>
    <col min="14850" max="14850" width="13.7109375" customWidth="1"/>
    <col min="14851" max="14851" width="13.85546875" customWidth="1"/>
    <col min="14852" max="14852" width="13.42578125" customWidth="1"/>
    <col min="14853" max="14853" width="13.85546875" customWidth="1"/>
    <col min="15105" max="15105" width="16" customWidth="1"/>
    <col min="15106" max="15106" width="13.7109375" customWidth="1"/>
    <col min="15107" max="15107" width="13.85546875" customWidth="1"/>
    <col min="15108" max="15108" width="13.42578125" customWidth="1"/>
    <col min="15109" max="15109" width="13.85546875" customWidth="1"/>
    <col min="15361" max="15361" width="16" customWidth="1"/>
    <col min="15362" max="15362" width="13.7109375" customWidth="1"/>
    <col min="15363" max="15363" width="13.85546875" customWidth="1"/>
    <col min="15364" max="15364" width="13.42578125" customWidth="1"/>
    <col min="15365" max="15365" width="13.85546875" customWidth="1"/>
    <col min="15617" max="15617" width="16" customWidth="1"/>
    <col min="15618" max="15618" width="13.7109375" customWidth="1"/>
    <col min="15619" max="15619" width="13.85546875" customWidth="1"/>
    <col min="15620" max="15620" width="13.42578125" customWidth="1"/>
    <col min="15621" max="15621" width="13.85546875" customWidth="1"/>
    <col min="15873" max="15873" width="16" customWidth="1"/>
    <col min="15874" max="15874" width="13.7109375" customWidth="1"/>
    <col min="15875" max="15875" width="13.85546875" customWidth="1"/>
    <col min="15876" max="15876" width="13.42578125" customWidth="1"/>
    <col min="15877" max="15877" width="13.85546875" customWidth="1"/>
    <col min="16129" max="16129" width="16" customWidth="1"/>
    <col min="16130" max="16130" width="13.7109375" customWidth="1"/>
    <col min="16131" max="16131" width="13.85546875" customWidth="1"/>
    <col min="16132" max="16132" width="13.42578125" customWidth="1"/>
    <col min="16133" max="16133" width="13.85546875" customWidth="1"/>
  </cols>
  <sheetData>
    <row r="1" spans="1:18" x14ac:dyDescent="0.25">
      <c r="A1" s="9" t="s">
        <v>0</v>
      </c>
      <c r="B1" s="10" t="str">
        <f>[1]Title!B1</f>
        <v>nobody</v>
      </c>
      <c r="H1" s="11" t="s">
        <v>17</v>
      </c>
      <c r="I1" t="s">
        <v>19</v>
      </c>
      <c r="J1" t="s">
        <v>20</v>
      </c>
      <c r="K1" t="s">
        <v>21</v>
      </c>
      <c r="L1" t="s">
        <v>22</v>
      </c>
      <c r="M1" t="s">
        <v>23</v>
      </c>
      <c r="N1" t="s">
        <v>24</v>
      </c>
      <c r="O1" t="s">
        <v>25</v>
      </c>
      <c r="P1" t="s">
        <v>26</v>
      </c>
      <c r="Q1" t="s">
        <v>27</v>
      </c>
      <c r="R1" t="s">
        <v>28</v>
      </c>
    </row>
    <row r="2" spans="1:18" x14ac:dyDescent="0.25">
      <c r="H2">
        <v>1880</v>
      </c>
      <c r="I2">
        <v>13.616695289206914</v>
      </c>
      <c r="J2">
        <v>13.616695289206914</v>
      </c>
      <c r="K2">
        <v>13.616695289206914</v>
      </c>
      <c r="L2">
        <v>13.616695289206914</v>
      </c>
      <c r="M2">
        <v>13.616695289206914</v>
      </c>
      <c r="N2">
        <v>13.616695289206914</v>
      </c>
      <c r="O2">
        <v>13.616695289206914</v>
      </c>
      <c r="P2">
        <v>13.616695289206914</v>
      </c>
      <c r="Q2">
        <v>13.616695289206914</v>
      </c>
      <c r="R2">
        <v>13.616695289206914</v>
      </c>
    </row>
    <row r="3" spans="1:18" x14ac:dyDescent="0.25">
      <c r="A3" s="11" t="s">
        <v>7</v>
      </c>
      <c r="B3" s="11" t="s">
        <v>8</v>
      </c>
      <c r="H3">
        <v>1881</v>
      </c>
      <c r="I3">
        <v>13.598078615007509</v>
      </c>
      <c r="J3">
        <v>13.482627341001271</v>
      </c>
      <c r="K3">
        <v>13.707982418161267</v>
      </c>
      <c r="L3">
        <v>13.670145556209222</v>
      </c>
      <c r="M3">
        <v>13.600825115989755</v>
      </c>
      <c r="N3">
        <v>13.877624207608612</v>
      </c>
      <c r="O3">
        <v>13.792908626310718</v>
      </c>
      <c r="P3">
        <v>13.379236245277205</v>
      </c>
      <c r="Q3">
        <v>13.595526843160567</v>
      </c>
      <c r="R3">
        <v>13.320775387971418</v>
      </c>
    </row>
    <row r="4" spans="1:18" x14ac:dyDescent="0.25">
      <c r="B4" s="12"/>
      <c r="H4">
        <v>1882</v>
      </c>
      <c r="I4">
        <v>13.545011339454572</v>
      </c>
      <c r="J4">
        <v>13.65366737053176</v>
      </c>
      <c r="K4">
        <v>13.593541760957638</v>
      </c>
      <c r="L4">
        <v>13.748840870839551</v>
      </c>
      <c r="M4">
        <v>13.572963262443114</v>
      </c>
      <c r="N4">
        <v>13.84624569312529</v>
      </c>
      <c r="O4">
        <v>13.650812232346446</v>
      </c>
      <c r="P4">
        <v>13.48408362729694</v>
      </c>
      <c r="Q4">
        <v>13.653365630027166</v>
      </c>
      <c r="R4">
        <v>13.507342890789696</v>
      </c>
    </row>
    <row r="5" spans="1:18" x14ac:dyDescent="0.25">
      <c r="H5">
        <v>1883</v>
      </c>
      <c r="I5">
        <v>13.446400088838761</v>
      </c>
      <c r="J5">
        <v>13.435746253173683</v>
      </c>
      <c r="K5">
        <v>13.624468164004208</v>
      </c>
      <c r="L5">
        <v>13.824914924919696</v>
      </c>
      <c r="M5">
        <v>13.503056769812574</v>
      </c>
      <c r="N5">
        <v>13.803625547268281</v>
      </c>
      <c r="O5">
        <v>13.635669677702404</v>
      </c>
      <c r="P5">
        <v>13.418324752467671</v>
      </c>
      <c r="Q5">
        <v>13.529242959951022</v>
      </c>
      <c r="R5">
        <v>13.799561869093061</v>
      </c>
    </row>
    <row r="6" spans="1:18" x14ac:dyDescent="0.25">
      <c r="H6">
        <v>1884</v>
      </c>
      <c r="I6">
        <v>13.567502965265916</v>
      </c>
      <c r="J6">
        <v>13.372924719152923</v>
      </c>
      <c r="K6">
        <v>13.479904789829616</v>
      </c>
      <c r="L6">
        <v>13.734602873933289</v>
      </c>
      <c r="M6">
        <v>13.719569972010424</v>
      </c>
      <c r="N6">
        <v>13.793522216082474</v>
      </c>
      <c r="O6">
        <v>13.509126556127285</v>
      </c>
      <c r="P6">
        <v>13.322853220761361</v>
      </c>
      <c r="Q6">
        <v>13.659927787785895</v>
      </c>
      <c r="R6">
        <v>13.837866661077399</v>
      </c>
    </row>
    <row r="7" spans="1:18" x14ac:dyDescent="0.25">
      <c r="H7">
        <v>1885</v>
      </c>
      <c r="I7">
        <v>13.64042695310351</v>
      </c>
      <c r="J7">
        <v>13.520856068628115</v>
      </c>
      <c r="K7">
        <v>13.495206869039841</v>
      </c>
      <c r="L7">
        <v>14.000645198541243</v>
      </c>
      <c r="M7">
        <v>13.700858259001631</v>
      </c>
      <c r="N7">
        <v>14.17589770898863</v>
      </c>
      <c r="O7">
        <v>13.518708050835542</v>
      </c>
      <c r="P7">
        <v>13.13887068567842</v>
      </c>
      <c r="Q7">
        <v>13.573721429697862</v>
      </c>
      <c r="R7">
        <v>13.652581481512167</v>
      </c>
    </row>
    <row r="8" spans="1:18" x14ac:dyDescent="0.25">
      <c r="H8">
        <v>1886</v>
      </c>
      <c r="I8">
        <v>13.545281988695223</v>
      </c>
      <c r="J8">
        <v>13.533387005518923</v>
      </c>
      <c r="K8">
        <v>13.533975637803977</v>
      </c>
      <c r="L8">
        <v>13.976635999150727</v>
      </c>
      <c r="M8">
        <v>13.681559769165348</v>
      </c>
      <c r="N8">
        <v>13.784322237327014</v>
      </c>
      <c r="O8">
        <v>13.60443412307742</v>
      </c>
      <c r="P8">
        <v>13.839248172305858</v>
      </c>
      <c r="Q8">
        <v>13.551058303090649</v>
      </c>
      <c r="R8">
        <v>13.622679998356615</v>
      </c>
    </row>
    <row r="9" spans="1:18" x14ac:dyDescent="0.25">
      <c r="H9">
        <v>1887</v>
      </c>
      <c r="I9">
        <v>13.552762609496368</v>
      </c>
      <c r="J9">
        <v>13.706570253785868</v>
      </c>
      <c r="K9">
        <v>13.461746676057277</v>
      </c>
      <c r="L9">
        <v>14.297273042075988</v>
      </c>
      <c r="M9">
        <v>13.705070540092407</v>
      </c>
      <c r="N9">
        <v>13.863399578153327</v>
      </c>
      <c r="O9">
        <v>13.620770549004593</v>
      </c>
      <c r="P9">
        <v>13.568500480913706</v>
      </c>
      <c r="Q9">
        <v>13.722933088873972</v>
      </c>
      <c r="R9">
        <v>13.672710539010284</v>
      </c>
    </row>
    <row r="10" spans="1:18" x14ac:dyDescent="0.25">
      <c r="H10">
        <v>1888</v>
      </c>
      <c r="I10">
        <v>13.588587043489294</v>
      </c>
      <c r="J10">
        <v>13.524535493649912</v>
      </c>
      <c r="K10">
        <v>13.580984349542135</v>
      </c>
      <c r="L10">
        <v>13.952544950792984</v>
      </c>
      <c r="M10">
        <v>13.666500305693354</v>
      </c>
      <c r="N10">
        <v>13.866261003258515</v>
      </c>
      <c r="O10">
        <v>13.640901854515981</v>
      </c>
      <c r="P10">
        <v>13.721962607740664</v>
      </c>
      <c r="Q10">
        <v>13.790240561078697</v>
      </c>
      <c r="R10">
        <v>13.670505773346637</v>
      </c>
    </row>
    <row r="11" spans="1:18" x14ac:dyDescent="0.25">
      <c r="H11">
        <v>1889</v>
      </c>
      <c r="I11">
        <v>13.480861813076155</v>
      </c>
      <c r="J11">
        <v>13.465754314689102</v>
      </c>
      <c r="K11">
        <v>13.563113394962309</v>
      </c>
      <c r="L11">
        <v>13.827410292293921</v>
      </c>
      <c r="M11">
        <v>13.845664732413955</v>
      </c>
      <c r="N11">
        <v>13.846303330402511</v>
      </c>
      <c r="O11">
        <v>13.582732240834439</v>
      </c>
      <c r="P11">
        <v>13.527238481377937</v>
      </c>
      <c r="Q11">
        <v>13.667031187031336</v>
      </c>
      <c r="R11">
        <v>13.653585325337604</v>
      </c>
    </row>
    <row r="18" spans="1:9" s="11" customFormat="1" x14ac:dyDescent="0.25">
      <c r="A18" s="11" t="s">
        <v>29</v>
      </c>
      <c r="H18"/>
      <c r="I18"/>
    </row>
    <row r="19" spans="1:9" x14ac:dyDescent="0.25">
      <c r="A19" s="18" t="s">
        <v>9</v>
      </c>
      <c r="B19" s="18" t="s">
        <v>10</v>
      </c>
      <c r="C19" s="18" t="s">
        <v>11</v>
      </c>
      <c r="D19" s="18" t="s">
        <v>12</v>
      </c>
      <c r="E19" s="18" t="s">
        <v>13</v>
      </c>
      <c r="F19" s="18" t="s">
        <v>14</v>
      </c>
    </row>
    <row r="20" spans="1:9" x14ac:dyDescent="0.25">
      <c r="A20" s="18" t="s">
        <v>15</v>
      </c>
      <c r="B20" s="19">
        <v>-5.3E-3</v>
      </c>
      <c r="C20" s="19">
        <v>-1.3899999999999999E-2</v>
      </c>
      <c r="D20" s="19">
        <v>2.24E-2</v>
      </c>
      <c r="E20" s="19">
        <v>-9.7000000000000003E-3</v>
      </c>
      <c r="F20" s="19">
        <v>1.2999999999999999E-2</v>
      </c>
    </row>
    <row r="21" spans="1:9" x14ac:dyDescent="0.25">
      <c r="A21" s="18" t="s">
        <v>16</v>
      </c>
      <c r="B21" s="19">
        <v>-2.2000000000000001E-3</v>
      </c>
      <c r="C21" s="19">
        <v>4.4499999999999998E-2</v>
      </c>
      <c r="D21" s="19">
        <v>1.4500000000000001E-2</v>
      </c>
      <c r="E21" s="19">
        <v>1.8800000000000001E-2</v>
      </c>
      <c r="F21" s="19">
        <v>1.7500000000000002E-2</v>
      </c>
    </row>
    <row r="50" spans="1:18" x14ac:dyDescent="0.25">
      <c r="A50" s="11" t="s">
        <v>30</v>
      </c>
      <c r="B50" s="11"/>
      <c r="C50" s="11"/>
      <c r="D50" s="11"/>
      <c r="E50" s="11"/>
      <c r="F50" s="11"/>
    </row>
    <row r="51" spans="1:18" x14ac:dyDescent="0.25">
      <c r="A51" s="18" t="s">
        <v>9</v>
      </c>
      <c r="B51" s="18" t="s">
        <v>10</v>
      </c>
      <c r="C51" s="18" t="s">
        <v>11</v>
      </c>
      <c r="D51" s="18" t="s">
        <v>12</v>
      </c>
      <c r="E51" s="18" t="s">
        <v>13</v>
      </c>
      <c r="F51" s="18" t="s">
        <v>14</v>
      </c>
    </row>
    <row r="52" spans="1:18" x14ac:dyDescent="0.25">
      <c r="A52" s="18" t="s">
        <v>15</v>
      </c>
      <c r="B52" s="19">
        <v>7.0000000000000001E-3</v>
      </c>
      <c r="C52" s="19">
        <v>8.0000000000000002E-3</v>
      </c>
      <c r="D52" s="19">
        <v>4.7999999999999996E-3</v>
      </c>
      <c r="E52" s="19">
        <v>7.1999999999999998E-3</v>
      </c>
      <c r="F52" s="19">
        <v>3.3999999999999998E-3</v>
      </c>
    </row>
    <row r="53" spans="1:18" x14ac:dyDescent="0.25">
      <c r="A53" s="18" t="s">
        <v>16</v>
      </c>
      <c r="B53" s="19">
        <v>9.1999999999999998E-3</v>
      </c>
      <c r="C53" s="19">
        <v>1.1999999999999999E-3</v>
      </c>
      <c r="D53" s="19">
        <v>4.4999999999999997E-3</v>
      </c>
      <c r="E53" s="19">
        <v>2.9999999999999997E-4</v>
      </c>
      <c r="F53" s="19">
        <v>9.7999999999999997E-3</v>
      </c>
    </row>
    <row r="55" spans="1:18" x14ac:dyDescent="0.25">
      <c r="H55" s="11" t="s">
        <v>17</v>
      </c>
      <c r="I55" t="s">
        <v>19</v>
      </c>
      <c r="J55" t="s">
        <v>20</v>
      </c>
      <c r="K55" t="s">
        <v>21</v>
      </c>
      <c r="L55" t="s">
        <v>22</v>
      </c>
      <c r="M55" t="s">
        <v>23</v>
      </c>
      <c r="N55" t="s">
        <v>24</v>
      </c>
      <c r="O55" t="s">
        <v>25</v>
      </c>
      <c r="P55" t="s">
        <v>26</v>
      </c>
      <c r="Q55" t="s">
        <v>27</v>
      </c>
      <c r="R55" t="s">
        <v>28</v>
      </c>
    </row>
    <row r="56" spans="1:18" x14ac:dyDescent="0.25">
      <c r="H56">
        <v>1880</v>
      </c>
      <c r="I56">
        <v>13.616695289206914</v>
      </c>
      <c r="J56">
        <v>13.616695289206914</v>
      </c>
      <c r="K56">
        <v>13.616695289206914</v>
      </c>
      <c r="L56">
        <v>13.616695289206914</v>
      </c>
      <c r="M56">
        <v>13.616695289206914</v>
      </c>
      <c r="N56">
        <v>13.616695289206914</v>
      </c>
      <c r="O56">
        <v>13.616695289206914</v>
      </c>
      <c r="P56">
        <v>13.616695289206914</v>
      </c>
      <c r="Q56">
        <v>13.616695289206914</v>
      </c>
      <c r="R56">
        <v>13.616695289206914</v>
      </c>
    </row>
    <row r="57" spans="1:18" x14ac:dyDescent="0.25">
      <c r="H57">
        <v>1881</v>
      </c>
      <c r="I57">
        <v>13.578633097386829</v>
      </c>
      <c r="J57">
        <v>13.809484502880535</v>
      </c>
      <c r="K57">
        <v>13.626565934798004</v>
      </c>
      <c r="L57">
        <v>13.751590624977627</v>
      </c>
      <c r="M57">
        <v>13.669383331543049</v>
      </c>
      <c r="N57">
        <v>13.568106286859752</v>
      </c>
      <c r="O57">
        <v>13.521809029000847</v>
      </c>
      <c r="P57">
        <v>13.61679627681783</v>
      </c>
      <c r="Q57">
        <v>13.644844448130398</v>
      </c>
      <c r="R57">
        <v>13.672710278357673</v>
      </c>
    </row>
    <row r="58" spans="1:18" x14ac:dyDescent="0.25">
      <c r="H58">
        <v>1882</v>
      </c>
      <c r="I58">
        <v>13.568038369060831</v>
      </c>
      <c r="J58">
        <v>14.008036792048721</v>
      </c>
      <c r="K58">
        <v>13.462620249646536</v>
      </c>
      <c r="L58">
        <v>13.861771787151474</v>
      </c>
      <c r="M58">
        <v>13.535935361684786</v>
      </c>
      <c r="N58">
        <v>13.841410063228835</v>
      </c>
      <c r="O58">
        <v>13.534209488485589</v>
      </c>
      <c r="P58">
        <v>13.73740002452065</v>
      </c>
      <c r="Q58">
        <v>13.667012498206907</v>
      </c>
      <c r="R58">
        <v>13.679291540304275</v>
      </c>
    </row>
    <row r="59" spans="1:18" x14ac:dyDescent="0.25">
      <c r="H59">
        <v>1883</v>
      </c>
      <c r="I59">
        <v>13.625786947100332</v>
      </c>
      <c r="J59">
        <v>13.921533500048964</v>
      </c>
      <c r="K59">
        <v>13.435266137278878</v>
      </c>
      <c r="L59">
        <v>13.853714809230853</v>
      </c>
      <c r="M59">
        <v>13.512441734244678</v>
      </c>
      <c r="N59">
        <v>13.765589561112042</v>
      </c>
      <c r="O59">
        <v>13.636636949537447</v>
      </c>
      <c r="P59">
        <v>13.82536094317337</v>
      </c>
      <c r="Q59">
        <v>13.463037004580148</v>
      </c>
      <c r="R59">
        <v>13.416359307435492</v>
      </c>
    </row>
    <row r="60" spans="1:18" x14ac:dyDescent="0.25">
      <c r="H60">
        <v>1884</v>
      </c>
      <c r="I60">
        <v>13.581337458653728</v>
      </c>
      <c r="J60">
        <v>13.710935685632524</v>
      </c>
      <c r="K60">
        <v>13.677868542161207</v>
      </c>
      <c r="L60">
        <v>13.802454604829357</v>
      </c>
      <c r="M60">
        <v>13.607000623277997</v>
      </c>
      <c r="N60">
        <v>14.047516563068193</v>
      </c>
      <c r="O60">
        <v>13.65051041660997</v>
      </c>
      <c r="P60">
        <v>13.548394278908278</v>
      </c>
      <c r="Q60">
        <v>13.623367159887309</v>
      </c>
      <c r="R60">
        <v>13.27114416180304</v>
      </c>
    </row>
    <row r="61" spans="1:18" x14ac:dyDescent="0.25">
      <c r="H61">
        <v>1885</v>
      </c>
      <c r="I61">
        <v>13.734128930798116</v>
      </c>
      <c r="J61">
        <v>13.789047893186323</v>
      </c>
      <c r="K61">
        <v>13.539183066721884</v>
      </c>
      <c r="L61">
        <v>13.448642594493677</v>
      </c>
      <c r="M61">
        <v>13.459868701739042</v>
      </c>
      <c r="N61">
        <v>13.966337033512136</v>
      </c>
      <c r="O61">
        <v>13.700687948816153</v>
      </c>
      <c r="P61">
        <v>13.70340180705379</v>
      </c>
      <c r="Q61">
        <v>13.632211120470133</v>
      </c>
      <c r="R61">
        <v>13.487739484209879</v>
      </c>
    </row>
    <row r="62" spans="1:18" x14ac:dyDescent="0.25">
      <c r="H62">
        <v>1886</v>
      </c>
      <c r="I62">
        <v>13.626875740586636</v>
      </c>
      <c r="J62">
        <v>13.717202961217653</v>
      </c>
      <c r="K62">
        <v>13.649404569080462</v>
      </c>
      <c r="L62">
        <v>13.487949473497583</v>
      </c>
      <c r="M62">
        <v>13.53976224519792</v>
      </c>
      <c r="N62">
        <v>13.773664885687102</v>
      </c>
      <c r="O62">
        <v>13.708124898935649</v>
      </c>
      <c r="P62">
        <v>13.920031539049527</v>
      </c>
      <c r="Q62">
        <v>13.599666833554998</v>
      </c>
      <c r="R62">
        <v>13.413427778699175</v>
      </c>
    </row>
    <row r="63" spans="1:18" x14ac:dyDescent="0.25">
      <c r="H63">
        <v>1887</v>
      </c>
      <c r="I63">
        <v>13.827339262613782</v>
      </c>
      <c r="J63">
        <v>13.544684471448255</v>
      </c>
      <c r="K63">
        <v>13.615866941076366</v>
      </c>
      <c r="L63">
        <v>13.74210355452013</v>
      </c>
      <c r="M63">
        <v>13.633169870402259</v>
      </c>
      <c r="N63">
        <v>13.658285361953251</v>
      </c>
      <c r="O63">
        <v>13.698800638471228</v>
      </c>
      <c r="P63">
        <v>13.578010912160273</v>
      </c>
      <c r="Q63">
        <v>13.571570485605713</v>
      </c>
      <c r="R63">
        <v>13.417992178853346</v>
      </c>
    </row>
    <row r="64" spans="1:18" x14ac:dyDescent="0.25">
      <c r="H64">
        <v>1888</v>
      </c>
      <c r="I64">
        <v>13.724942032987663</v>
      </c>
      <c r="J64">
        <v>13.687183829664805</v>
      </c>
      <c r="K64">
        <v>13.757479442105453</v>
      </c>
      <c r="L64">
        <v>13.796577171609698</v>
      </c>
      <c r="M64">
        <v>13.536844296080094</v>
      </c>
      <c r="N64">
        <v>13.966740869387053</v>
      </c>
      <c r="O64">
        <v>13.637757162199883</v>
      </c>
      <c r="P64">
        <v>13.602914769220225</v>
      </c>
      <c r="Q64">
        <v>13.6916064233748</v>
      </c>
      <c r="R64">
        <v>13.392936374732312</v>
      </c>
    </row>
    <row r="65" spans="8:18" x14ac:dyDescent="0.25">
      <c r="H65">
        <v>1889</v>
      </c>
      <c r="I65">
        <v>13.691099847815067</v>
      </c>
      <c r="J65">
        <v>13.745836404043194</v>
      </c>
      <c r="K65">
        <v>13.589360336734401</v>
      </c>
      <c r="L65">
        <v>13.607149344628965</v>
      </c>
      <c r="M65">
        <v>13.49489276044981</v>
      </c>
      <c r="N65">
        <v>13.906452714030261</v>
      </c>
      <c r="O65">
        <v>13.65470582851373</v>
      </c>
      <c r="P65">
        <v>13.653905267586739</v>
      </c>
      <c r="Q65">
        <v>13.902965469714291</v>
      </c>
      <c r="R65">
        <v>13.18166235733403</v>
      </c>
    </row>
    <row r="66" spans="8:18" x14ac:dyDescent="0.25">
      <c r="H66">
        <v>1890</v>
      </c>
      <c r="I66">
        <v>13.831798729714569</v>
      </c>
      <c r="J66">
        <v>13.674486494657645</v>
      </c>
      <c r="K66">
        <v>13.575532620431366</v>
      </c>
      <c r="L66">
        <v>13.485071331586825</v>
      </c>
      <c r="M66">
        <v>13.619762959618253</v>
      </c>
      <c r="N66">
        <v>13.898999925579155</v>
      </c>
      <c r="O66">
        <v>13.64604067002451</v>
      </c>
      <c r="P66">
        <v>13.591032239379544</v>
      </c>
      <c r="Q66">
        <v>13.744487893308911</v>
      </c>
      <c r="R66">
        <v>13.631510555761093</v>
      </c>
    </row>
    <row r="67" spans="8:18" x14ac:dyDescent="0.25">
      <c r="H67">
        <v>1891</v>
      </c>
      <c r="I67">
        <v>13.748772575405154</v>
      </c>
      <c r="J67">
        <v>13.355443660807516</v>
      </c>
      <c r="K67">
        <v>13.52711891292951</v>
      </c>
      <c r="L67">
        <v>13.489661838320483</v>
      </c>
      <c r="M67">
        <v>13.912822816463118</v>
      </c>
      <c r="N67">
        <v>13.758199478962654</v>
      </c>
      <c r="O67">
        <v>13.62980058771716</v>
      </c>
      <c r="P67">
        <v>13.729578594259307</v>
      </c>
      <c r="Q67">
        <v>13.665695586381929</v>
      </c>
      <c r="R67">
        <v>13.60514064414418</v>
      </c>
    </row>
    <row r="68" spans="8:18" x14ac:dyDescent="0.25">
      <c r="H68">
        <v>1892</v>
      </c>
      <c r="I68">
        <v>13.604964063742479</v>
      </c>
      <c r="J68">
        <v>13.78558327719875</v>
      </c>
      <c r="K68">
        <v>13.727122583784945</v>
      </c>
      <c r="L68">
        <v>13.586847209622672</v>
      </c>
      <c r="M68">
        <v>13.760921081945494</v>
      </c>
      <c r="N68">
        <v>13.223200410696357</v>
      </c>
      <c r="O68">
        <v>13.60001370039409</v>
      </c>
      <c r="P68">
        <v>13.896005510504866</v>
      </c>
      <c r="Q68">
        <v>13.685119624535469</v>
      </c>
      <c r="R68">
        <v>13.916553452299468</v>
      </c>
    </row>
    <row r="69" spans="8:18" x14ac:dyDescent="0.25">
      <c r="H69">
        <v>1893</v>
      </c>
      <c r="I69">
        <v>13.459714844599816</v>
      </c>
      <c r="J69">
        <v>13.677345014713934</v>
      </c>
      <c r="K69">
        <v>13.708616118845034</v>
      </c>
      <c r="L69">
        <v>13.482146137107769</v>
      </c>
      <c r="M69">
        <v>13.576267661624199</v>
      </c>
      <c r="N69">
        <v>13.761580872181179</v>
      </c>
      <c r="O69">
        <v>13.568891647447838</v>
      </c>
      <c r="P69">
        <v>13.860483123354767</v>
      </c>
      <c r="Q69">
        <v>13.684492606322589</v>
      </c>
      <c r="R69">
        <v>13.698994794192537</v>
      </c>
    </row>
    <row r="70" spans="8:18" x14ac:dyDescent="0.25">
      <c r="H70">
        <v>1894</v>
      </c>
      <c r="I70">
        <v>13.560613884511675</v>
      </c>
      <c r="J70">
        <v>13.630585635651936</v>
      </c>
      <c r="K70">
        <v>13.650313477998891</v>
      </c>
      <c r="L70">
        <v>13.683564691963527</v>
      </c>
      <c r="M70">
        <v>13.805431615164254</v>
      </c>
      <c r="N70">
        <v>13.841415023017783</v>
      </c>
      <c r="O70">
        <v>13.543847444927637</v>
      </c>
      <c r="P70">
        <v>13.99527144842148</v>
      </c>
      <c r="Q70">
        <v>13.748156814626784</v>
      </c>
      <c r="R70">
        <v>13.943933143300654</v>
      </c>
    </row>
    <row r="71" spans="8:18" x14ac:dyDescent="0.25">
      <c r="H71">
        <v>1895</v>
      </c>
      <c r="I71">
        <v>13.560388545742496</v>
      </c>
      <c r="J71">
        <v>13.311913584780751</v>
      </c>
      <c r="K71">
        <v>13.77494270134966</v>
      </c>
      <c r="L71">
        <v>13.602581473292984</v>
      </c>
      <c r="M71">
        <v>13.688410699408164</v>
      </c>
      <c r="N71">
        <v>13.836472003644687</v>
      </c>
      <c r="O71">
        <v>13.714994458954346</v>
      </c>
      <c r="P71">
        <v>13.842342867309453</v>
      </c>
      <c r="Q71">
        <v>13.685708888435606</v>
      </c>
      <c r="R71">
        <v>13.835080697001761</v>
      </c>
    </row>
    <row r="72" spans="8:18" x14ac:dyDescent="0.25">
      <c r="H72">
        <v>1896</v>
      </c>
      <c r="I72">
        <v>13.671136554723345</v>
      </c>
      <c r="J72">
        <v>13.471072974272683</v>
      </c>
      <c r="K72">
        <v>13.884476511527163</v>
      </c>
      <c r="L72">
        <v>13.668331108136911</v>
      </c>
      <c r="M72">
        <v>13.663180442417614</v>
      </c>
      <c r="N72">
        <v>14.192187674675541</v>
      </c>
      <c r="O72">
        <v>13.754957268130708</v>
      </c>
      <c r="P72">
        <v>13.611851921347736</v>
      </c>
      <c r="Q72">
        <v>13.629790031790161</v>
      </c>
      <c r="R72">
        <v>13.681735536970812</v>
      </c>
    </row>
    <row r="73" spans="8:18" x14ac:dyDescent="0.25">
      <c r="H73">
        <v>1897</v>
      </c>
      <c r="I73">
        <v>13.716800442561361</v>
      </c>
      <c r="J73">
        <v>13.840508459624459</v>
      </c>
      <c r="K73">
        <v>13.783105919951826</v>
      </c>
      <c r="L73">
        <v>13.461034056928451</v>
      </c>
      <c r="M73">
        <v>13.58491641132767</v>
      </c>
      <c r="N73">
        <v>14.048393164952753</v>
      </c>
      <c r="O73">
        <v>13.754542267722105</v>
      </c>
      <c r="P73">
        <v>13.632897258345938</v>
      </c>
      <c r="Q73">
        <v>13.402056647048166</v>
      </c>
      <c r="R73">
        <v>13.646789707041494</v>
      </c>
    </row>
    <row r="74" spans="8:18" x14ac:dyDescent="0.25">
      <c r="H74">
        <v>1898</v>
      </c>
      <c r="I74">
        <v>13.708120937633312</v>
      </c>
      <c r="J74">
        <v>14.072739325788879</v>
      </c>
      <c r="K74">
        <v>13.711065830143298</v>
      </c>
      <c r="L74">
        <v>13.729934686705551</v>
      </c>
      <c r="M74">
        <v>13.76319979686307</v>
      </c>
      <c r="N74">
        <v>13.885762308720258</v>
      </c>
      <c r="O74">
        <v>13.735794074681131</v>
      </c>
      <c r="P74">
        <v>13.31125906003455</v>
      </c>
      <c r="Q74">
        <v>13.632336528717705</v>
      </c>
      <c r="R74">
        <v>13.577132148156345</v>
      </c>
    </row>
    <row r="75" spans="8:18" x14ac:dyDescent="0.25">
      <c r="H75">
        <v>1899</v>
      </c>
      <c r="I75">
        <v>13.810231656441161</v>
      </c>
      <c r="J75">
        <v>13.909209805303536</v>
      </c>
      <c r="K75">
        <v>13.687082181343698</v>
      </c>
      <c r="L75">
        <v>13.74815563852451</v>
      </c>
      <c r="M75">
        <v>13.838381738512361</v>
      </c>
      <c r="N75">
        <v>13.629349507423612</v>
      </c>
      <c r="O75">
        <v>13.818920147484786</v>
      </c>
      <c r="P75">
        <v>13.37895774420563</v>
      </c>
      <c r="Q75">
        <v>13.763794497279985</v>
      </c>
      <c r="R75">
        <v>13.963477191922898</v>
      </c>
    </row>
    <row r="76" spans="8:18" x14ac:dyDescent="0.25">
      <c r="H76">
        <v>1900</v>
      </c>
      <c r="I76">
        <v>13.610569125764135</v>
      </c>
      <c r="J76">
        <v>13.506475302282636</v>
      </c>
      <c r="K76">
        <v>13.648679860893223</v>
      </c>
      <c r="L76">
        <v>13.564860672128464</v>
      </c>
      <c r="M76">
        <v>13.83365368219606</v>
      </c>
      <c r="N76">
        <v>13.587994297834651</v>
      </c>
      <c r="O76">
        <v>13.762096183611011</v>
      </c>
      <c r="P76">
        <v>13.473809529344729</v>
      </c>
      <c r="Q76">
        <v>13.920415115967854</v>
      </c>
      <c r="R76">
        <v>14.001915496720123</v>
      </c>
    </row>
    <row r="77" spans="8:18" x14ac:dyDescent="0.25">
      <c r="H77">
        <v>1901</v>
      </c>
      <c r="I77">
        <v>13.723577822489958</v>
      </c>
      <c r="J77">
        <v>13.403538034124162</v>
      </c>
      <c r="K77">
        <v>13.735908632050188</v>
      </c>
      <c r="L77">
        <v>13.819057139286324</v>
      </c>
      <c r="M77">
        <v>13.68541171767019</v>
      </c>
      <c r="N77">
        <v>13.784422099229884</v>
      </c>
      <c r="O77">
        <v>13.547684130437295</v>
      </c>
      <c r="P77">
        <v>13.334716007132005</v>
      </c>
      <c r="Q77">
        <v>13.824504610915877</v>
      </c>
      <c r="R77">
        <v>14.076969144571164</v>
      </c>
    </row>
    <row r="78" spans="8:18" x14ac:dyDescent="0.25">
      <c r="H78">
        <v>1902</v>
      </c>
      <c r="I78">
        <v>13.787841366420487</v>
      </c>
      <c r="J78">
        <v>13.268883478802888</v>
      </c>
      <c r="K78">
        <v>13.759430012034663</v>
      </c>
      <c r="L78">
        <v>14.12593773827966</v>
      </c>
      <c r="M78">
        <v>13.710206048145368</v>
      </c>
      <c r="N78">
        <v>13.962034549905683</v>
      </c>
      <c r="O78">
        <v>13.466843948404765</v>
      </c>
      <c r="P78">
        <v>13.448732020408869</v>
      </c>
      <c r="Q78">
        <v>14.07820896669797</v>
      </c>
      <c r="R78">
        <v>14.281072870483021</v>
      </c>
    </row>
    <row r="79" spans="8:18" x14ac:dyDescent="0.25">
      <c r="H79">
        <v>1903</v>
      </c>
      <c r="I79">
        <v>13.670825862399072</v>
      </c>
      <c r="J79">
        <v>13.345334460562441</v>
      </c>
      <c r="K79">
        <v>13.683314300901605</v>
      </c>
      <c r="L79">
        <v>13.743860277647487</v>
      </c>
      <c r="M79">
        <v>13.708742986327374</v>
      </c>
      <c r="N79">
        <v>13.743725323368356</v>
      </c>
      <c r="O79">
        <v>13.726230081316693</v>
      </c>
      <c r="P79">
        <v>13.908745627847217</v>
      </c>
      <c r="Q79">
        <v>13.987586215436476</v>
      </c>
      <c r="R79">
        <v>14.18788660445448</v>
      </c>
    </row>
    <row r="80" spans="8:18" x14ac:dyDescent="0.25">
      <c r="H80">
        <v>1904</v>
      </c>
      <c r="I80">
        <v>13.824819344798925</v>
      </c>
      <c r="J80">
        <v>13.667880172651527</v>
      </c>
      <c r="K80">
        <v>13.6297570779924</v>
      </c>
      <c r="L80">
        <v>13.581882237611362</v>
      </c>
      <c r="M80">
        <v>13.820873945016363</v>
      </c>
      <c r="N80">
        <v>13.720781995721389</v>
      </c>
      <c r="O80">
        <v>13.86877378572887</v>
      </c>
      <c r="P80">
        <v>13.684188693697802</v>
      </c>
      <c r="Q80">
        <v>13.837253303693046</v>
      </c>
      <c r="R80">
        <v>13.969834716680026</v>
      </c>
    </row>
    <row r="81" spans="8:18" x14ac:dyDescent="0.25">
      <c r="H81">
        <v>1905</v>
      </c>
      <c r="I81">
        <v>13.917688606740171</v>
      </c>
      <c r="J81">
        <v>13.686545454449915</v>
      </c>
      <c r="K81">
        <v>13.773001762411436</v>
      </c>
      <c r="L81">
        <v>13.80418205014259</v>
      </c>
      <c r="M81">
        <v>13.816141090302507</v>
      </c>
      <c r="N81">
        <v>13.794530107154154</v>
      </c>
      <c r="O81">
        <v>13.932958661797322</v>
      </c>
      <c r="P81">
        <v>13.978644670378157</v>
      </c>
      <c r="Q81">
        <v>13.702748233002048</v>
      </c>
      <c r="R81">
        <v>14.275805872246794</v>
      </c>
    </row>
    <row r="82" spans="8:18" x14ac:dyDescent="0.25">
      <c r="H82">
        <v>1906</v>
      </c>
      <c r="I82">
        <v>13.961643653204145</v>
      </c>
      <c r="J82">
        <v>13.742371034293315</v>
      </c>
      <c r="K82">
        <v>13.875762271000504</v>
      </c>
      <c r="L82">
        <v>13.886825844338972</v>
      </c>
      <c r="M82">
        <v>13.843817439352227</v>
      </c>
      <c r="N82">
        <v>13.45869612091164</v>
      </c>
      <c r="O82">
        <v>13.894935046816832</v>
      </c>
      <c r="P82">
        <v>13.816935227980665</v>
      </c>
      <c r="Q82">
        <v>13.777500295608325</v>
      </c>
      <c r="R82">
        <v>14.222568755054203</v>
      </c>
    </row>
    <row r="83" spans="8:18" x14ac:dyDescent="0.25">
      <c r="H83">
        <v>1907</v>
      </c>
      <c r="I83">
        <v>14.062439155538799</v>
      </c>
      <c r="J83">
        <v>13.706798902150728</v>
      </c>
      <c r="K83">
        <v>13.909538575238908</v>
      </c>
      <c r="L83">
        <v>13.522050915363906</v>
      </c>
      <c r="M83">
        <v>13.727931404563506</v>
      </c>
      <c r="N83">
        <v>13.786014745522888</v>
      </c>
      <c r="O83">
        <v>13.754338961325919</v>
      </c>
      <c r="P83">
        <v>13.877839722434382</v>
      </c>
      <c r="Q83">
        <v>13.802973015656057</v>
      </c>
      <c r="R83">
        <v>14.026796107272544</v>
      </c>
    </row>
    <row r="84" spans="8:18" x14ac:dyDescent="0.25">
      <c r="H84">
        <v>1908</v>
      </c>
      <c r="I84">
        <v>13.688897392170581</v>
      </c>
      <c r="J84">
        <v>13.620133865015182</v>
      </c>
      <c r="K84">
        <v>13.804903863476332</v>
      </c>
      <c r="L84">
        <v>13.510424004391711</v>
      </c>
      <c r="M84">
        <v>13.689704009513965</v>
      </c>
      <c r="N84">
        <v>14.210959797239644</v>
      </c>
      <c r="O84">
        <v>13.799666376808096</v>
      </c>
      <c r="P84">
        <v>13.759539824799216</v>
      </c>
      <c r="Q84">
        <v>13.773972779094997</v>
      </c>
      <c r="R84">
        <v>13.859174640584609</v>
      </c>
    </row>
    <row r="85" spans="8:18" x14ac:dyDescent="0.25">
      <c r="H85">
        <v>1909</v>
      </c>
      <c r="I85">
        <v>13.78944959353097</v>
      </c>
      <c r="J85">
        <v>13.733854412469521</v>
      </c>
      <c r="K85">
        <v>13.78726076440026</v>
      </c>
      <c r="L85">
        <v>13.819982866920517</v>
      </c>
      <c r="M85">
        <v>13.637487925728013</v>
      </c>
      <c r="N85">
        <v>14.219437865896852</v>
      </c>
      <c r="O85">
        <v>13.775821833442341</v>
      </c>
      <c r="P85">
        <v>13.49656709079942</v>
      </c>
      <c r="Q85">
        <v>13.740028355285482</v>
      </c>
      <c r="R85">
        <v>13.873806512618412</v>
      </c>
    </row>
    <row r="86" spans="8:18" x14ac:dyDescent="0.25">
      <c r="H86">
        <v>1910</v>
      </c>
      <c r="I86">
        <v>13.845242974686956</v>
      </c>
      <c r="J86">
        <v>13.935745350441087</v>
      </c>
      <c r="K86">
        <v>13.856819024197534</v>
      </c>
      <c r="L86">
        <v>13.791690239902714</v>
      </c>
      <c r="M86">
        <v>13.609594455302377</v>
      </c>
      <c r="N86">
        <v>13.905647996683896</v>
      </c>
      <c r="O86">
        <v>13.846735244233196</v>
      </c>
      <c r="P86">
        <v>13.279220305947982</v>
      </c>
      <c r="Q86">
        <v>13.804762379455212</v>
      </c>
      <c r="R86">
        <v>13.670338912767997</v>
      </c>
    </row>
    <row r="87" spans="8:18" x14ac:dyDescent="0.25">
      <c r="H87">
        <v>1911</v>
      </c>
      <c r="I87">
        <v>13.595266323585806</v>
      </c>
      <c r="J87">
        <v>14.32187040454011</v>
      </c>
      <c r="K87">
        <v>13.735180327303048</v>
      </c>
      <c r="L87">
        <v>13.781985027922541</v>
      </c>
      <c r="M87">
        <v>13.643071228653854</v>
      </c>
      <c r="N87">
        <v>13.708226528875164</v>
      </c>
      <c r="O87">
        <v>13.907018972808245</v>
      </c>
      <c r="P87">
        <v>13.206175200350543</v>
      </c>
      <c r="Q87">
        <v>13.824746200685253</v>
      </c>
      <c r="R87">
        <v>13.903522979258947</v>
      </c>
    </row>
    <row r="88" spans="8:18" x14ac:dyDescent="0.25">
      <c r="H88">
        <v>1912</v>
      </c>
      <c r="I88">
        <v>13.80051567636368</v>
      </c>
      <c r="J88">
        <v>14.244712349195098</v>
      </c>
      <c r="K88">
        <v>13.891522199878269</v>
      </c>
      <c r="L88">
        <v>13.61886045880264</v>
      </c>
      <c r="M88">
        <v>13.511952134756616</v>
      </c>
      <c r="N88">
        <v>13.833347200630834</v>
      </c>
      <c r="O88">
        <v>13.946781591861383</v>
      </c>
      <c r="P88">
        <v>13.700802517989402</v>
      </c>
      <c r="Q88">
        <v>13.791760349732938</v>
      </c>
      <c r="R88">
        <v>13.525904248812562</v>
      </c>
    </row>
    <row r="89" spans="8:18" x14ac:dyDescent="0.25">
      <c r="H89">
        <v>1913</v>
      </c>
      <c r="I89">
        <v>13.820238283026976</v>
      </c>
      <c r="J89">
        <v>14.061912662131697</v>
      </c>
      <c r="K89">
        <v>13.849743088129333</v>
      </c>
      <c r="L89">
        <v>13.547574224520986</v>
      </c>
      <c r="M89">
        <v>13.812956605248747</v>
      </c>
      <c r="N89">
        <v>13.93857414249892</v>
      </c>
      <c r="O89">
        <v>13.852899570315381</v>
      </c>
      <c r="P89">
        <v>14.008106096462249</v>
      </c>
      <c r="Q89">
        <v>13.961967445735409</v>
      </c>
      <c r="R89">
        <v>13.679967514050789</v>
      </c>
    </row>
    <row r="90" spans="8:18" x14ac:dyDescent="0.25">
      <c r="H90">
        <v>1914</v>
      </c>
      <c r="I90">
        <v>13.783621403407277</v>
      </c>
      <c r="J90">
        <v>13.698315541495086</v>
      </c>
      <c r="K90">
        <v>14.060653325788818</v>
      </c>
      <c r="L90">
        <v>13.911003609798728</v>
      </c>
      <c r="M90">
        <v>13.805031756946709</v>
      </c>
      <c r="N90">
        <v>13.698817170311113</v>
      </c>
      <c r="O90">
        <v>13.729529484859146</v>
      </c>
      <c r="P90">
        <v>13.482291158601388</v>
      </c>
      <c r="Q90">
        <v>14.000543181644929</v>
      </c>
      <c r="R90">
        <v>13.871196422125859</v>
      </c>
    </row>
    <row r="91" spans="8:18" x14ac:dyDescent="0.25">
      <c r="H91">
        <v>1915</v>
      </c>
      <c r="I91">
        <v>13.954430093724019</v>
      </c>
      <c r="J91">
        <v>13.860567803633742</v>
      </c>
      <c r="K91">
        <v>13.948139957687467</v>
      </c>
      <c r="L91">
        <v>13.612199462406284</v>
      </c>
      <c r="M91">
        <v>13.72286412397453</v>
      </c>
      <c r="N91">
        <v>13.773806758551832</v>
      </c>
      <c r="O91">
        <v>13.549639320569474</v>
      </c>
      <c r="P91">
        <v>13.254284561108802</v>
      </c>
      <c r="Q91">
        <v>13.927113223734848</v>
      </c>
      <c r="R91">
        <v>13.96867105152074</v>
      </c>
    </row>
    <row r="92" spans="8:18" x14ac:dyDescent="0.25">
      <c r="H92">
        <v>1916</v>
      </c>
      <c r="I92">
        <v>13.977797300322125</v>
      </c>
      <c r="J92">
        <v>13.854265512994557</v>
      </c>
      <c r="K92">
        <v>13.66376014816993</v>
      </c>
      <c r="L92">
        <v>13.716365070412859</v>
      </c>
      <c r="M92">
        <v>13.723828329216085</v>
      </c>
      <c r="N92">
        <v>13.420801577006358</v>
      </c>
      <c r="O92">
        <v>13.587814451289429</v>
      </c>
      <c r="P92">
        <v>13.876925769804993</v>
      </c>
      <c r="Q92">
        <v>13.859283179803866</v>
      </c>
      <c r="R92">
        <v>14.001272451916995</v>
      </c>
    </row>
    <row r="93" spans="8:18" x14ac:dyDescent="0.25">
      <c r="H93">
        <v>1917</v>
      </c>
      <c r="I93">
        <v>13.788327879562747</v>
      </c>
      <c r="J93">
        <v>14.268600293519061</v>
      </c>
      <c r="K93">
        <v>13.860771440741818</v>
      </c>
      <c r="L93">
        <v>13.272042415354337</v>
      </c>
      <c r="M93">
        <v>13.629826304125391</v>
      </c>
      <c r="N93">
        <v>13.966705626269933</v>
      </c>
      <c r="O93">
        <v>13.79323680182701</v>
      </c>
      <c r="P93">
        <v>13.841112675427871</v>
      </c>
      <c r="Q93">
        <v>13.782953200340961</v>
      </c>
      <c r="R93">
        <v>13.944117504883502</v>
      </c>
    </row>
    <row r="94" spans="8:18" x14ac:dyDescent="0.25">
      <c r="H94">
        <v>1918</v>
      </c>
      <c r="I94">
        <v>13.819624629745567</v>
      </c>
      <c r="J94">
        <v>14.34608812623962</v>
      </c>
      <c r="K94">
        <v>13.777321895591214</v>
      </c>
      <c r="L94">
        <v>13.505077938339536</v>
      </c>
      <c r="M94">
        <v>13.685129884076845</v>
      </c>
      <c r="N94">
        <v>14.080359003263272</v>
      </c>
      <c r="O94">
        <v>13.793534127810618</v>
      </c>
      <c r="P94">
        <v>13.568872870173061</v>
      </c>
      <c r="Q94">
        <v>13.721422436622047</v>
      </c>
      <c r="R94">
        <v>13.732812314551374</v>
      </c>
    </row>
    <row r="95" spans="8:18" x14ac:dyDescent="0.25">
      <c r="H95">
        <v>1919</v>
      </c>
      <c r="I95">
        <v>13.887288682401428</v>
      </c>
      <c r="J95">
        <v>14.505689250278747</v>
      </c>
      <c r="K95">
        <v>13.87138512332435</v>
      </c>
      <c r="L95">
        <v>13.492500315049606</v>
      </c>
      <c r="M95">
        <v>13.77418014820198</v>
      </c>
      <c r="N95">
        <v>13.93232902404039</v>
      </c>
      <c r="O95">
        <v>13.884027601145423</v>
      </c>
      <c r="P95">
        <v>13.628853622165758</v>
      </c>
      <c r="Q95">
        <v>13.777293391537832</v>
      </c>
      <c r="R95">
        <v>13.787912882403951</v>
      </c>
    </row>
    <row r="96" spans="8:18" x14ac:dyDescent="0.25">
      <c r="H96">
        <v>1920</v>
      </c>
      <c r="I96">
        <v>13.97181745347357</v>
      </c>
      <c r="J96">
        <v>14.17452108694364</v>
      </c>
      <c r="K96">
        <v>13.885346070621498</v>
      </c>
      <c r="L96">
        <v>13.228513168529762</v>
      </c>
      <c r="M96">
        <v>13.763483451608657</v>
      </c>
      <c r="N96">
        <v>14.225280051386767</v>
      </c>
      <c r="O96">
        <v>13.865528136762688</v>
      </c>
      <c r="P96">
        <v>13.563856517297015</v>
      </c>
      <c r="Q96">
        <v>13.740185550665997</v>
      </c>
      <c r="R96">
        <v>13.937194888061313</v>
      </c>
    </row>
    <row r="97" spans="8:18" x14ac:dyDescent="0.25">
      <c r="H97">
        <v>1921</v>
      </c>
      <c r="I97">
        <v>13.809279920872454</v>
      </c>
      <c r="J97">
        <v>13.884377978183085</v>
      </c>
      <c r="K97">
        <v>14.055247660935256</v>
      </c>
      <c r="L97">
        <v>13.678987136554587</v>
      </c>
      <c r="M97">
        <v>13.947784552234895</v>
      </c>
      <c r="N97">
        <v>13.644614384222386</v>
      </c>
      <c r="O97">
        <v>13.826243753089308</v>
      </c>
      <c r="P97">
        <v>13.863684023823145</v>
      </c>
      <c r="Q97">
        <v>14.009002911656124</v>
      </c>
      <c r="R97">
        <v>14.149513207745736</v>
      </c>
    </row>
    <row r="98" spans="8:18" x14ac:dyDescent="0.25">
      <c r="H98">
        <v>1922</v>
      </c>
      <c r="I98">
        <v>13.818830309751988</v>
      </c>
      <c r="J98">
        <v>14.090435767612323</v>
      </c>
      <c r="K98">
        <v>14.09800329061998</v>
      </c>
      <c r="L98">
        <v>13.649233829445009</v>
      </c>
      <c r="M98">
        <v>13.8322991369514</v>
      </c>
      <c r="N98">
        <v>13.6166533910514</v>
      </c>
      <c r="O98">
        <v>13.831360482730517</v>
      </c>
      <c r="P98">
        <v>13.576399877564914</v>
      </c>
      <c r="Q98">
        <v>13.978078625910641</v>
      </c>
      <c r="R98">
        <v>13.966627748461997</v>
      </c>
    </row>
    <row r="99" spans="8:18" x14ac:dyDescent="0.25">
      <c r="H99">
        <v>1923</v>
      </c>
      <c r="I99">
        <v>13.992316633930637</v>
      </c>
      <c r="J99">
        <v>14.290575245720586</v>
      </c>
      <c r="K99">
        <v>14.081829611210715</v>
      </c>
      <c r="L99">
        <v>13.509507141086836</v>
      </c>
      <c r="M99">
        <v>13.892670009273214</v>
      </c>
      <c r="N99">
        <v>13.790966650670381</v>
      </c>
      <c r="O99">
        <v>14.178026997915484</v>
      </c>
      <c r="P99">
        <v>13.382233666180001</v>
      </c>
      <c r="Q99">
        <v>13.845301768209584</v>
      </c>
      <c r="R99">
        <v>13.787246040931922</v>
      </c>
    </row>
    <row r="100" spans="8:18" x14ac:dyDescent="0.25">
      <c r="H100">
        <v>1924</v>
      </c>
      <c r="I100">
        <v>13.962159045763707</v>
      </c>
      <c r="J100">
        <v>14.02721216702051</v>
      </c>
      <c r="K100">
        <v>14.224821732970431</v>
      </c>
      <c r="L100">
        <v>13.923912757207583</v>
      </c>
      <c r="M100">
        <v>13.80981757045568</v>
      </c>
      <c r="N100">
        <v>13.719038028146707</v>
      </c>
      <c r="O100">
        <v>14.083788727744608</v>
      </c>
      <c r="P100">
        <v>13.511349609967032</v>
      </c>
      <c r="Q100">
        <v>13.666777936695114</v>
      </c>
      <c r="R100">
        <v>13.944188860492915</v>
      </c>
    </row>
    <row r="101" spans="8:18" x14ac:dyDescent="0.25">
      <c r="H101">
        <v>1925</v>
      </c>
      <c r="I101">
        <v>13.922661816363316</v>
      </c>
      <c r="J101">
        <v>13.827697070093295</v>
      </c>
      <c r="K101">
        <v>14.024458561673363</v>
      </c>
      <c r="L101">
        <v>13.693302282127124</v>
      </c>
      <c r="M101">
        <v>13.872933907768381</v>
      </c>
      <c r="N101">
        <v>13.64485249198313</v>
      </c>
      <c r="O101">
        <v>13.848901522669493</v>
      </c>
      <c r="P101">
        <v>13.85448223308966</v>
      </c>
      <c r="Q101">
        <v>13.691462389470054</v>
      </c>
      <c r="R101">
        <v>14.181647621430404</v>
      </c>
    </row>
    <row r="102" spans="8:18" x14ac:dyDescent="0.25">
      <c r="H102">
        <v>1926</v>
      </c>
      <c r="I102">
        <v>13.847011508397426</v>
      </c>
      <c r="J102">
        <v>14.038502792511702</v>
      </c>
      <c r="K102">
        <v>13.758193744764446</v>
      </c>
      <c r="L102">
        <v>13.560621145645174</v>
      </c>
      <c r="M102">
        <v>13.797183346443198</v>
      </c>
      <c r="N102">
        <v>13.690862742349633</v>
      </c>
      <c r="O102">
        <v>13.908558131205085</v>
      </c>
      <c r="P102">
        <v>13.669808571732901</v>
      </c>
      <c r="Q102">
        <v>13.626267776149334</v>
      </c>
      <c r="R102">
        <v>13.894717063841327</v>
      </c>
    </row>
    <row r="103" spans="8:18" x14ac:dyDescent="0.25">
      <c r="H103">
        <v>1927</v>
      </c>
      <c r="I103">
        <v>13.920981537326757</v>
      </c>
      <c r="J103">
        <v>13.792149606455919</v>
      </c>
      <c r="K103">
        <v>13.786198738388075</v>
      </c>
      <c r="L103">
        <v>13.979539290876746</v>
      </c>
      <c r="M103">
        <v>13.730246768158361</v>
      </c>
      <c r="N103">
        <v>13.580381749896766</v>
      </c>
      <c r="O103">
        <v>14.05752250189501</v>
      </c>
      <c r="P103">
        <v>13.845009586398316</v>
      </c>
      <c r="Q103">
        <v>13.675745355035287</v>
      </c>
      <c r="R103">
        <v>13.959284868475173</v>
      </c>
    </row>
    <row r="104" spans="8:18" x14ac:dyDescent="0.25">
      <c r="H104">
        <v>1928</v>
      </c>
      <c r="I104">
        <v>13.970502409544013</v>
      </c>
      <c r="J104">
        <v>13.818908137765053</v>
      </c>
      <c r="K104">
        <v>13.682249057687715</v>
      </c>
      <c r="L104">
        <v>13.973517408295104</v>
      </c>
      <c r="M104">
        <v>13.808743825007637</v>
      </c>
      <c r="N104">
        <v>13.742439276383893</v>
      </c>
      <c r="O104">
        <v>13.84805309378903</v>
      </c>
      <c r="P104">
        <v>13.815738504574474</v>
      </c>
      <c r="Q104">
        <v>13.591694208592667</v>
      </c>
      <c r="R104">
        <v>13.864119017186491</v>
      </c>
    </row>
    <row r="105" spans="8:18" x14ac:dyDescent="0.25">
      <c r="H105">
        <v>1929</v>
      </c>
      <c r="I105">
        <v>13.952125684827024</v>
      </c>
      <c r="J105">
        <v>13.920264015024662</v>
      </c>
      <c r="K105">
        <v>13.756722550695644</v>
      </c>
      <c r="L105">
        <v>14.103728335036879</v>
      </c>
      <c r="M105">
        <v>13.818938717172347</v>
      </c>
      <c r="N105">
        <v>13.966035935077926</v>
      </c>
      <c r="O105">
        <v>13.875271837447706</v>
      </c>
      <c r="P105">
        <v>13.84386853320723</v>
      </c>
      <c r="Q105">
        <v>13.677801117952724</v>
      </c>
      <c r="R105">
        <v>13.89311898298434</v>
      </c>
    </row>
  </sheetData>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8691-0CF7-4FDF-AA11-55A4F4C6349E}">
  <dimension ref="A1:E145"/>
  <sheetViews>
    <sheetView workbookViewId="0">
      <selection sqref="A1:B1048576"/>
    </sheetView>
  </sheetViews>
  <sheetFormatPr defaultColWidth="10" defaultRowHeight="15" x14ac:dyDescent="0.25"/>
  <cols>
    <col min="1" max="1" width="13.28515625" customWidth="1"/>
    <col min="2" max="2" width="19.140625" customWidth="1"/>
    <col min="3" max="3" width="11" customWidth="1"/>
    <col min="257" max="257" width="13.28515625" customWidth="1"/>
    <col min="258" max="258" width="19.140625" customWidth="1"/>
    <col min="259" max="259" width="11" customWidth="1"/>
    <col min="513" max="513" width="13.28515625" customWidth="1"/>
    <col min="514" max="514" width="19.140625" customWidth="1"/>
    <col min="515" max="515" width="11" customWidth="1"/>
    <col min="769" max="769" width="13.28515625" customWidth="1"/>
    <col min="770" max="770" width="19.140625" customWidth="1"/>
    <col min="771" max="771" width="11" customWidth="1"/>
    <col min="1025" max="1025" width="13.28515625" customWidth="1"/>
    <col min="1026" max="1026" width="19.140625" customWidth="1"/>
    <col min="1027" max="1027" width="11" customWidth="1"/>
    <col min="1281" max="1281" width="13.28515625" customWidth="1"/>
    <col min="1282" max="1282" width="19.140625" customWidth="1"/>
    <col min="1283" max="1283" width="11" customWidth="1"/>
    <col min="1537" max="1537" width="13.28515625" customWidth="1"/>
    <col min="1538" max="1538" width="19.140625" customWidth="1"/>
    <col min="1539" max="1539" width="11" customWidth="1"/>
    <col min="1793" max="1793" width="13.28515625" customWidth="1"/>
    <col min="1794" max="1794" width="19.140625" customWidth="1"/>
    <col min="1795" max="1795" width="11" customWidth="1"/>
    <col min="2049" max="2049" width="13.28515625" customWidth="1"/>
    <col min="2050" max="2050" width="19.140625" customWidth="1"/>
    <col min="2051" max="2051" width="11" customWidth="1"/>
    <col min="2305" max="2305" width="13.28515625" customWidth="1"/>
    <col min="2306" max="2306" width="19.140625" customWidth="1"/>
    <col min="2307" max="2307" width="11" customWidth="1"/>
    <col min="2561" max="2561" width="13.28515625" customWidth="1"/>
    <col min="2562" max="2562" width="19.140625" customWidth="1"/>
    <col min="2563" max="2563" width="11" customWidth="1"/>
    <col min="2817" max="2817" width="13.28515625" customWidth="1"/>
    <col min="2818" max="2818" width="19.140625" customWidth="1"/>
    <col min="2819" max="2819" width="11" customWidth="1"/>
    <col min="3073" max="3073" width="13.28515625" customWidth="1"/>
    <col min="3074" max="3074" width="19.140625" customWidth="1"/>
    <col min="3075" max="3075" width="11" customWidth="1"/>
    <col min="3329" max="3329" width="13.28515625" customWidth="1"/>
    <col min="3330" max="3330" width="19.140625" customWidth="1"/>
    <col min="3331" max="3331" width="11" customWidth="1"/>
    <col min="3585" max="3585" width="13.28515625" customWidth="1"/>
    <col min="3586" max="3586" width="19.140625" customWidth="1"/>
    <col min="3587" max="3587" width="11" customWidth="1"/>
    <col min="3841" max="3841" width="13.28515625" customWidth="1"/>
    <col min="3842" max="3842" width="19.140625" customWidth="1"/>
    <col min="3843" max="3843" width="11" customWidth="1"/>
    <col min="4097" max="4097" width="13.28515625" customWidth="1"/>
    <col min="4098" max="4098" width="19.140625" customWidth="1"/>
    <col min="4099" max="4099" width="11" customWidth="1"/>
    <col min="4353" max="4353" width="13.28515625" customWidth="1"/>
    <col min="4354" max="4354" width="19.140625" customWidth="1"/>
    <col min="4355" max="4355" width="11" customWidth="1"/>
    <col min="4609" max="4609" width="13.28515625" customWidth="1"/>
    <col min="4610" max="4610" width="19.140625" customWidth="1"/>
    <col min="4611" max="4611" width="11" customWidth="1"/>
    <col min="4865" max="4865" width="13.28515625" customWidth="1"/>
    <col min="4866" max="4866" width="19.140625" customWidth="1"/>
    <col min="4867" max="4867" width="11" customWidth="1"/>
    <col min="5121" max="5121" width="13.28515625" customWidth="1"/>
    <col min="5122" max="5122" width="19.140625" customWidth="1"/>
    <col min="5123" max="5123" width="11" customWidth="1"/>
    <col min="5377" max="5377" width="13.28515625" customWidth="1"/>
    <col min="5378" max="5378" width="19.140625" customWidth="1"/>
    <col min="5379" max="5379" width="11" customWidth="1"/>
    <col min="5633" max="5633" width="13.28515625" customWidth="1"/>
    <col min="5634" max="5634" width="19.140625" customWidth="1"/>
    <col min="5635" max="5635" width="11" customWidth="1"/>
    <col min="5889" max="5889" width="13.28515625" customWidth="1"/>
    <col min="5890" max="5890" width="19.140625" customWidth="1"/>
    <col min="5891" max="5891" width="11" customWidth="1"/>
    <col min="6145" max="6145" width="13.28515625" customWidth="1"/>
    <col min="6146" max="6146" width="19.140625" customWidth="1"/>
    <col min="6147" max="6147" width="11" customWidth="1"/>
    <col min="6401" max="6401" width="13.28515625" customWidth="1"/>
    <col min="6402" max="6402" width="19.140625" customWidth="1"/>
    <col min="6403" max="6403" width="11" customWidth="1"/>
    <col min="6657" max="6657" width="13.28515625" customWidth="1"/>
    <col min="6658" max="6658" width="19.140625" customWidth="1"/>
    <col min="6659" max="6659" width="11" customWidth="1"/>
    <col min="6913" max="6913" width="13.28515625" customWidth="1"/>
    <col min="6914" max="6914" width="19.140625" customWidth="1"/>
    <col min="6915" max="6915" width="11" customWidth="1"/>
    <col min="7169" max="7169" width="13.28515625" customWidth="1"/>
    <col min="7170" max="7170" width="19.140625" customWidth="1"/>
    <col min="7171" max="7171" width="11" customWidth="1"/>
    <col min="7425" max="7425" width="13.28515625" customWidth="1"/>
    <col min="7426" max="7426" width="19.140625" customWidth="1"/>
    <col min="7427" max="7427" width="11" customWidth="1"/>
    <col min="7681" max="7681" width="13.28515625" customWidth="1"/>
    <col min="7682" max="7682" width="19.140625" customWidth="1"/>
    <col min="7683" max="7683" width="11" customWidth="1"/>
    <col min="7937" max="7937" width="13.28515625" customWidth="1"/>
    <col min="7938" max="7938" width="19.140625" customWidth="1"/>
    <col min="7939" max="7939" width="11" customWidth="1"/>
    <col min="8193" max="8193" width="13.28515625" customWidth="1"/>
    <col min="8194" max="8194" width="19.140625" customWidth="1"/>
    <col min="8195" max="8195" width="11" customWidth="1"/>
    <col min="8449" max="8449" width="13.28515625" customWidth="1"/>
    <col min="8450" max="8450" width="19.140625" customWidth="1"/>
    <col min="8451" max="8451" width="11" customWidth="1"/>
    <col min="8705" max="8705" width="13.28515625" customWidth="1"/>
    <col min="8706" max="8706" width="19.140625" customWidth="1"/>
    <col min="8707" max="8707" width="11" customWidth="1"/>
    <col min="8961" max="8961" width="13.28515625" customWidth="1"/>
    <col min="8962" max="8962" width="19.140625" customWidth="1"/>
    <col min="8963" max="8963" width="11" customWidth="1"/>
    <col min="9217" max="9217" width="13.28515625" customWidth="1"/>
    <col min="9218" max="9218" width="19.140625" customWidth="1"/>
    <col min="9219" max="9219" width="11" customWidth="1"/>
    <col min="9473" max="9473" width="13.28515625" customWidth="1"/>
    <col min="9474" max="9474" width="19.140625" customWidth="1"/>
    <col min="9475" max="9475" width="11" customWidth="1"/>
    <col min="9729" max="9729" width="13.28515625" customWidth="1"/>
    <col min="9730" max="9730" width="19.140625" customWidth="1"/>
    <col min="9731" max="9731" width="11" customWidth="1"/>
    <col min="9985" max="9985" width="13.28515625" customWidth="1"/>
    <col min="9986" max="9986" width="19.140625" customWidth="1"/>
    <col min="9987" max="9987" width="11" customWidth="1"/>
    <col min="10241" max="10241" width="13.28515625" customWidth="1"/>
    <col min="10242" max="10242" width="19.140625" customWidth="1"/>
    <col min="10243" max="10243" width="11" customWidth="1"/>
    <col min="10497" max="10497" width="13.28515625" customWidth="1"/>
    <col min="10498" max="10498" width="19.140625" customWidth="1"/>
    <col min="10499" max="10499" width="11" customWidth="1"/>
    <col min="10753" max="10753" width="13.28515625" customWidth="1"/>
    <col min="10754" max="10754" width="19.140625" customWidth="1"/>
    <col min="10755" max="10755" width="11" customWidth="1"/>
    <col min="11009" max="11009" width="13.28515625" customWidth="1"/>
    <col min="11010" max="11010" width="19.140625" customWidth="1"/>
    <col min="11011" max="11011" width="11" customWidth="1"/>
    <col min="11265" max="11265" width="13.28515625" customWidth="1"/>
    <col min="11266" max="11266" width="19.140625" customWidth="1"/>
    <col min="11267" max="11267" width="11" customWidth="1"/>
    <col min="11521" max="11521" width="13.28515625" customWidth="1"/>
    <col min="11522" max="11522" width="19.140625" customWidth="1"/>
    <col min="11523" max="11523" width="11" customWidth="1"/>
    <col min="11777" max="11777" width="13.28515625" customWidth="1"/>
    <col min="11778" max="11778" width="19.140625" customWidth="1"/>
    <col min="11779" max="11779" width="11" customWidth="1"/>
    <col min="12033" max="12033" width="13.28515625" customWidth="1"/>
    <col min="12034" max="12034" width="19.140625" customWidth="1"/>
    <col min="12035" max="12035" width="11" customWidth="1"/>
    <col min="12289" max="12289" width="13.28515625" customWidth="1"/>
    <col min="12290" max="12290" width="19.140625" customWidth="1"/>
    <col min="12291" max="12291" width="11" customWidth="1"/>
    <col min="12545" max="12545" width="13.28515625" customWidth="1"/>
    <col min="12546" max="12546" width="19.140625" customWidth="1"/>
    <col min="12547" max="12547" width="11" customWidth="1"/>
    <col min="12801" max="12801" width="13.28515625" customWidth="1"/>
    <col min="12802" max="12802" width="19.140625" customWidth="1"/>
    <col min="12803" max="12803" width="11" customWidth="1"/>
    <col min="13057" max="13057" width="13.28515625" customWidth="1"/>
    <col min="13058" max="13058" width="19.140625" customWidth="1"/>
    <col min="13059" max="13059" width="11" customWidth="1"/>
    <col min="13313" max="13313" width="13.28515625" customWidth="1"/>
    <col min="13314" max="13314" width="19.140625" customWidth="1"/>
    <col min="13315" max="13315" width="11" customWidth="1"/>
    <col min="13569" max="13569" width="13.28515625" customWidth="1"/>
    <col min="13570" max="13570" width="19.140625" customWidth="1"/>
    <col min="13571" max="13571" width="11" customWidth="1"/>
    <col min="13825" max="13825" width="13.28515625" customWidth="1"/>
    <col min="13826" max="13826" width="19.140625" customWidth="1"/>
    <col min="13827" max="13827" width="11" customWidth="1"/>
    <col min="14081" max="14081" width="13.28515625" customWidth="1"/>
    <col min="14082" max="14082" width="19.140625" customWidth="1"/>
    <col min="14083" max="14083" width="11" customWidth="1"/>
    <col min="14337" max="14337" width="13.28515625" customWidth="1"/>
    <col min="14338" max="14338" width="19.140625" customWidth="1"/>
    <col min="14339" max="14339" width="11" customWidth="1"/>
    <col min="14593" max="14593" width="13.28515625" customWidth="1"/>
    <col min="14594" max="14594" width="19.140625" customWidth="1"/>
    <col min="14595" max="14595" width="11" customWidth="1"/>
    <col min="14849" max="14849" width="13.28515625" customWidth="1"/>
    <col min="14850" max="14850" width="19.140625" customWidth="1"/>
    <col min="14851" max="14851" width="11" customWidth="1"/>
    <col min="15105" max="15105" width="13.28515625" customWidth="1"/>
    <col min="15106" max="15106" width="19.140625" customWidth="1"/>
    <col min="15107" max="15107" width="11" customWidth="1"/>
    <col min="15361" max="15361" width="13.28515625" customWidth="1"/>
    <col min="15362" max="15362" width="19.140625" customWidth="1"/>
    <col min="15363" max="15363" width="11" customWidth="1"/>
    <col min="15617" max="15617" width="13.28515625" customWidth="1"/>
    <col min="15618" max="15618" width="19.140625" customWidth="1"/>
    <col min="15619" max="15619" width="11" customWidth="1"/>
    <col min="15873" max="15873" width="13.28515625" customWidth="1"/>
    <col min="15874" max="15874" width="19.140625" customWidth="1"/>
    <col min="15875" max="15875" width="11" customWidth="1"/>
    <col min="16129" max="16129" width="13.28515625" customWidth="1"/>
    <col min="16130" max="16130" width="19.140625" customWidth="1"/>
    <col min="16131" max="16131" width="11" customWidth="1"/>
  </cols>
  <sheetData>
    <row r="1" spans="1:5" s="11" customFormat="1" ht="12.75" x14ac:dyDescent="0.2">
      <c r="A1" s="11" t="s">
        <v>17</v>
      </c>
      <c r="B1" s="11" t="s">
        <v>18</v>
      </c>
      <c r="D1" s="20"/>
      <c r="E1" s="20"/>
    </row>
    <row r="2" spans="1:5" x14ac:dyDescent="0.25">
      <c r="A2">
        <v>1880</v>
      </c>
      <c r="B2">
        <v>13.75</v>
      </c>
    </row>
    <row r="3" spans="1:5" x14ac:dyDescent="0.25">
      <c r="A3">
        <v>1881</v>
      </c>
      <c r="B3">
        <v>13.81</v>
      </c>
    </row>
    <row r="4" spans="1:5" x14ac:dyDescent="0.25">
      <c r="A4">
        <v>1882</v>
      </c>
      <c r="B4">
        <v>13.78</v>
      </c>
    </row>
    <row r="5" spans="1:5" x14ac:dyDescent="0.25">
      <c r="A5">
        <v>1883</v>
      </c>
      <c r="B5">
        <v>13.77</v>
      </c>
    </row>
    <row r="6" spans="1:5" x14ac:dyDescent="0.25">
      <c r="A6">
        <v>1884</v>
      </c>
      <c r="B6">
        <v>13.7</v>
      </c>
    </row>
    <row r="7" spans="1:5" x14ac:dyDescent="0.25">
      <c r="A7">
        <v>1885</v>
      </c>
      <c r="B7">
        <v>13.69</v>
      </c>
    </row>
    <row r="8" spans="1:5" x14ac:dyDescent="0.25">
      <c r="A8">
        <v>1886</v>
      </c>
      <c r="B8">
        <v>13.75</v>
      </c>
    </row>
    <row r="9" spans="1:5" x14ac:dyDescent="0.25">
      <c r="A9">
        <v>1887</v>
      </c>
      <c r="B9">
        <v>13.65</v>
      </c>
    </row>
    <row r="10" spans="1:5" x14ac:dyDescent="0.25">
      <c r="A10">
        <v>1888</v>
      </c>
      <c r="B10">
        <v>13.74</v>
      </c>
    </row>
    <row r="11" spans="1:5" x14ac:dyDescent="0.25">
      <c r="A11">
        <v>1889</v>
      </c>
      <c r="B11">
        <v>13.85</v>
      </c>
    </row>
    <row r="12" spans="1:5" x14ac:dyDescent="0.25">
      <c r="A12">
        <v>1890</v>
      </c>
      <c r="B12">
        <v>13.63</v>
      </c>
    </row>
    <row r="13" spans="1:5" x14ac:dyDescent="0.25">
      <c r="A13">
        <v>1891</v>
      </c>
      <c r="B13">
        <v>13.72</v>
      </c>
    </row>
    <row r="14" spans="1:5" x14ac:dyDescent="0.25">
      <c r="A14">
        <v>1892</v>
      </c>
      <c r="B14">
        <v>13.68</v>
      </c>
    </row>
    <row r="15" spans="1:5" x14ac:dyDescent="0.25">
      <c r="A15">
        <v>1893</v>
      </c>
      <c r="B15">
        <v>13.68</v>
      </c>
    </row>
    <row r="16" spans="1:5" x14ac:dyDescent="0.25">
      <c r="A16">
        <v>1894</v>
      </c>
      <c r="B16">
        <v>13.67</v>
      </c>
    </row>
    <row r="17" spans="1:2" x14ac:dyDescent="0.25">
      <c r="A17">
        <v>1895</v>
      </c>
      <c r="B17">
        <v>13.73</v>
      </c>
    </row>
    <row r="18" spans="1:2" x14ac:dyDescent="0.25">
      <c r="A18">
        <v>1896</v>
      </c>
      <c r="B18">
        <v>13.83</v>
      </c>
    </row>
    <row r="19" spans="1:2" x14ac:dyDescent="0.25">
      <c r="A19">
        <v>1897</v>
      </c>
      <c r="B19">
        <v>13.88</v>
      </c>
    </row>
    <row r="20" spans="1:2" x14ac:dyDescent="0.25">
      <c r="A20">
        <v>1898</v>
      </c>
      <c r="B20">
        <v>13.76</v>
      </c>
    </row>
    <row r="21" spans="1:2" x14ac:dyDescent="0.25">
      <c r="A21">
        <v>1899</v>
      </c>
      <c r="B21">
        <v>13.83</v>
      </c>
    </row>
    <row r="22" spans="1:2" x14ac:dyDescent="0.25">
      <c r="A22">
        <v>1900</v>
      </c>
      <c r="B22">
        <v>13.9</v>
      </c>
    </row>
    <row r="23" spans="1:2" x14ac:dyDescent="0.25">
      <c r="A23">
        <v>1901</v>
      </c>
      <c r="B23">
        <v>13.84</v>
      </c>
    </row>
    <row r="24" spans="1:2" x14ac:dyDescent="0.25">
      <c r="A24">
        <v>1902</v>
      </c>
      <c r="B24">
        <v>13.73</v>
      </c>
    </row>
    <row r="25" spans="1:2" x14ac:dyDescent="0.25">
      <c r="A25">
        <v>1903</v>
      </c>
      <c r="B25">
        <v>13.69</v>
      </c>
    </row>
    <row r="26" spans="1:2" x14ac:dyDescent="0.25">
      <c r="A26">
        <v>1904</v>
      </c>
      <c r="B26">
        <v>13.66</v>
      </c>
    </row>
    <row r="27" spans="1:2" x14ac:dyDescent="0.25">
      <c r="A27">
        <v>1905</v>
      </c>
      <c r="B27">
        <v>13.75</v>
      </c>
    </row>
    <row r="28" spans="1:2" x14ac:dyDescent="0.25">
      <c r="A28">
        <v>1906</v>
      </c>
      <c r="B28">
        <v>13.8</v>
      </c>
    </row>
    <row r="29" spans="1:2" x14ac:dyDescent="0.25">
      <c r="A29">
        <v>1907</v>
      </c>
      <c r="B29">
        <v>13.61</v>
      </c>
    </row>
    <row r="30" spans="1:2" x14ac:dyDescent="0.25">
      <c r="A30">
        <v>1908</v>
      </c>
      <c r="B30">
        <v>13.66</v>
      </c>
    </row>
    <row r="31" spans="1:2" x14ac:dyDescent="0.25">
      <c r="A31">
        <v>1909</v>
      </c>
      <c r="B31">
        <v>13.65</v>
      </c>
    </row>
    <row r="32" spans="1:2" x14ac:dyDescent="0.25">
      <c r="A32">
        <v>1910</v>
      </c>
      <c r="B32">
        <v>13.67</v>
      </c>
    </row>
    <row r="33" spans="1:2" x14ac:dyDescent="0.25">
      <c r="A33">
        <v>1911</v>
      </c>
      <c r="B33">
        <v>13.66</v>
      </c>
    </row>
    <row r="34" spans="1:2" x14ac:dyDescent="0.25">
      <c r="A34">
        <v>1912</v>
      </c>
      <c r="B34">
        <v>13.66</v>
      </c>
    </row>
    <row r="35" spans="1:2" x14ac:dyDescent="0.25">
      <c r="A35">
        <v>1913</v>
      </c>
      <c r="B35">
        <v>13.68</v>
      </c>
    </row>
    <row r="36" spans="1:2" x14ac:dyDescent="0.25">
      <c r="A36">
        <v>1914</v>
      </c>
      <c r="B36">
        <v>13.85</v>
      </c>
    </row>
    <row r="37" spans="1:2" x14ac:dyDescent="0.25">
      <c r="A37">
        <v>1915</v>
      </c>
      <c r="B37">
        <v>13.91</v>
      </c>
    </row>
    <row r="38" spans="1:2" x14ac:dyDescent="0.25">
      <c r="A38">
        <v>1916</v>
      </c>
      <c r="B38">
        <v>13.69</v>
      </c>
    </row>
    <row r="39" spans="1:2" x14ac:dyDescent="0.25">
      <c r="A39">
        <v>1917</v>
      </c>
      <c r="B39">
        <v>13.6</v>
      </c>
    </row>
    <row r="40" spans="1:2" x14ac:dyDescent="0.25">
      <c r="A40">
        <v>1918</v>
      </c>
      <c r="B40">
        <v>13.68</v>
      </c>
    </row>
    <row r="41" spans="1:2" x14ac:dyDescent="0.25">
      <c r="A41">
        <v>1919</v>
      </c>
      <c r="B41">
        <v>13.79</v>
      </c>
    </row>
    <row r="42" spans="1:2" x14ac:dyDescent="0.25">
      <c r="A42">
        <v>1920</v>
      </c>
      <c r="B42">
        <v>13.81</v>
      </c>
    </row>
    <row r="43" spans="1:2" x14ac:dyDescent="0.25">
      <c r="A43">
        <v>1921</v>
      </c>
      <c r="B43">
        <v>13.87</v>
      </c>
    </row>
    <row r="44" spans="1:2" x14ac:dyDescent="0.25">
      <c r="A44">
        <v>1922</v>
      </c>
      <c r="B44">
        <v>13.76</v>
      </c>
    </row>
    <row r="45" spans="1:2" x14ac:dyDescent="0.25">
      <c r="A45">
        <v>1923</v>
      </c>
      <c r="B45">
        <v>13.8</v>
      </c>
    </row>
    <row r="46" spans="1:2" x14ac:dyDescent="0.25">
      <c r="A46">
        <v>1924</v>
      </c>
      <c r="B46">
        <v>13.79</v>
      </c>
    </row>
    <row r="47" spans="1:2" x14ac:dyDescent="0.25">
      <c r="A47">
        <v>1925</v>
      </c>
      <c r="B47">
        <v>13.84</v>
      </c>
    </row>
    <row r="48" spans="1:2" x14ac:dyDescent="0.25">
      <c r="A48">
        <v>1926</v>
      </c>
      <c r="B48">
        <v>13.99</v>
      </c>
    </row>
    <row r="49" spans="1:2" x14ac:dyDescent="0.25">
      <c r="A49">
        <v>1927</v>
      </c>
      <c r="B49">
        <v>13.87</v>
      </c>
    </row>
    <row r="50" spans="1:2" x14ac:dyDescent="0.25">
      <c r="A50">
        <v>1928</v>
      </c>
      <c r="B50">
        <v>13.89</v>
      </c>
    </row>
    <row r="51" spans="1:2" x14ac:dyDescent="0.25">
      <c r="A51">
        <v>1929</v>
      </c>
      <c r="B51">
        <v>13.75</v>
      </c>
    </row>
    <row r="52" spans="1:2" x14ac:dyDescent="0.25">
      <c r="A52">
        <v>1930</v>
      </c>
      <c r="B52">
        <v>13.93</v>
      </c>
    </row>
    <row r="53" spans="1:2" x14ac:dyDescent="0.25">
      <c r="A53">
        <v>1931</v>
      </c>
      <c r="B53">
        <v>13.99</v>
      </c>
    </row>
    <row r="54" spans="1:2" x14ac:dyDescent="0.25">
      <c r="A54">
        <v>1932</v>
      </c>
      <c r="B54">
        <v>13.94</v>
      </c>
    </row>
    <row r="55" spans="1:2" x14ac:dyDescent="0.25">
      <c r="A55">
        <v>1933</v>
      </c>
      <c r="B55">
        <v>13.83</v>
      </c>
    </row>
    <row r="56" spans="1:2" x14ac:dyDescent="0.25">
      <c r="A56">
        <v>1934</v>
      </c>
      <c r="B56">
        <v>13.95</v>
      </c>
    </row>
    <row r="57" spans="1:2" x14ac:dyDescent="0.25">
      <c r="A57">
        <v>1935</v>
      </c>
      <c r="B57">
        <v>13.9</v>
      </c>
    </row>
    <row r="58" spans="1:2" x14ac:dyDescent="0.25">
      <c r="A58">
        <v>1936</v>
      </c>
      <c r="B58">
        <v>13.96</v>
      </c>
    </row>
    <row r="59" spans="1:2" x14ac:dyDescent="0.25">
      <c r="A59">
        <v>1937</v>
      </c>
      <c r="B59">
        <v>14.08</v>
      </c>
    </row>
    <row r="60" spans="1:2" x14ac:dyDescent="0.25">
      <c r="A60">
        <v>1938</v>
      </c>
      <c r="B60">
        <v>14.11</v>
      </c>
    </row>
    <row r="61" spans="1:2" x14ac:dyDescent="0.25">
      <c r="A61">
        <v>1939</v>
      </c>
      <c r="B61">
        <v>14.03</v>
      </c>
    </row>
    <row r="62" spans="1:2" x14ac:dyDescent="0.25">
      <c r="A62">
        <v>1940</v>
      </c>
      <c r="B62">
        <v>14.05</v>
      </c>
    </row>
    <row r="63" spans="1:2" x14ac:dyDescent="0.25">
      <c r="A63">
        <v>1941</v>
      </c>
      <c r="B63">
        <v>14.11</v>
      </c>
    </row>
    <row r="64" spans="1:2" x14ac:dyDescent="0.25">
      <c r="A64">
        <v>1942</v>
      </c>
      <c r="B64">
        <v>14.04</v>
      </c>
    </row>
    <row r="65" spans="1:2" x14ac:dyDescent="0.25">
      <c r="A65">
        <v>1943</v>
      </c>
      <c r="B65">
        <v>14.1</v>
      </c>
    </row>
    <row r="66" spans="1:2" x14ac:dyDescent="0.25">
      <c r="A66">
        <v>1944</v>
      </c>
      <c r="B66">
        <v>14.2</v>
      </c>
    </row>
    <row r="67" spans="1:2" x14ac:dyDescent="0.25">
      <c r="A67">
        <v>1945</v>
      </c>
      <c r="B67">
        <v>14.07</v>
      </c>
    </row>
    <row r="68" spans="1:2" x14ac:dyDescent="0.25">
      <c r="A68">
        <v>1946</v>
      </c>
      <c r="B68">
        <v>13.96</v>
      </c>
    </row>
    <row r="69" spans="1:2" x14ac:dyDescent="0.25">
      <c r="A69">
        <v>1947</v>
      </c>
      <c r="B69">
        <v>14.01</v>
      </c>
    </row>
    <row r="70" spans="1:2" x14ac:dyDescent="0.25">
      <c r="A70">
        <v>1948</v>
      </c>
      <c r="B70">
        <v>13.96</v>
      </c>
    </row>
    <row r="71" spans="1:2" x14ac:dyDescent="0.25">
      <c r="A71">
        <v>1949</v>
      </c>
      <c r="B71">
        <v>13.94</v>
      </c>
    </row>
    <row r="72" spans="1:2" x14ac:dyDescent="0.25">
      <c r="A72">
        <v>1950</v>
      </c>
      <c r="B72">
        <v>13.85</v>
      </c>
    </row>
    <row r="73" spans="1:2" x14ac:dyDescent="0.25">
      <c r="A73">
        <v>1951</v>
      </c>
      <c r="B73">
        <v>13.96</v>
      </c>
    </row>
    <row r="74" spans="1:2" x14ac:dyDescent="0.25">
      <c r="A74">
        <v>1952</v>
      </c>
      <c r="B74">
        <v>14.03</v>
      </c>
    </row>
    <row r="75" spans="1:2" x14ac:dyDescent="0.25">
      <c r="A75">
        <v>1953</v>
      </c>
      <c r="B75">
        <v>14.11</v>
      </c>
    </row>
    <row r="76" spans="1:2" x14ac:dyDescent="0.25">
      <c r="A76">
        <v>1954</v>
      </c>
      <c r="B76">
        <v>13.9</v>
      </c>
    </row>
    <row r="77" spans="1:2" x14ac:dyDescent="0.25">
      <c r="A77">
        <v>1955</v>
      </c>
      <c r="B77">
        <v>13.9</v>
      </c>
    </row>
    <row r="78" spans="1:2" x14ac:dyDescent="0.25">
      <c r="A78">
        <v>1956</v>
      </c>
      <c r="B78">
        <v>13.83</v>
      </c>
    </row>
    <row r="79" spans="1:2" x14ac:dyDescent="0.25">
      <c r="A79">
        <v>1957</v>
      </c>
      <c r="B79">
        <v>14.07</v>
      </c>
    </row>
    <row r="80" spans="1:2" x14ac:dyDescent="0.25">
      <c r="A80">
        <v>1958</v>
      </c>
      <c r="B80">
        <v>14.08</v>
      </c>
    </row>
    <row r="81" spans="1:2" x14ac:dyDescent="0.25">
      <c r="A81">
        <v>1959</v>
      </c>
      <c r="B81">
        <v>14.06</v>
      </c>
    </row>
    <row r="82" spans="1:2" x14ac:dyDescent="0.25">
      <c r="A82">
        <v>1960</v>
      </c>
      <c r="B82">
        <v>13.99</v>
      </c>
    </row>
    <row r="83" spans="1:2" x14ac:dyDescent="0.25">
      <c r="A83">
        <v>1961</v>
      </c>
      <c r="B83">
        <v>14.08</v>
      </c>
    </row>
    <row r="84" spans="1:2" x14ac:dyDescent="0.25">
      <c r="A84">
        <v>1962</v>
      </c>
      <c r="B84">
        <v>14.04</v>
      </c>
    </row>
    <row r="85" spans="1:2" x14ac:dyDescent="0.25">
      <c r="A85">
        <v>1963</v>
      </c>
      <c r="B85">
        <v>14.08</v>
      </c>
    </row>
    <row r="86" spans="1:2" x14ac:dyDescent="0.25">
      <c r="A86">
        <v>1964</v>
      </c>
      <c r="B86">
        <v>13.79</v>
      </c>
    </row>
    <row r="87" spans="1:2" x14ac:dyDescent="0.25">
      <c r="A87">
        <v>1965</v>
      </c>
      <c r="B87">
        <v>13.89</v>
      </c>
    </row>
    <row r="88" spans="1:2" x14ac:dyDescent="0.25">
      <c r="A88">
        <v>1966</v>
      </c>
      <c r="B88">
        <v>13.97</v>
      </c>
    </row>
    <row r="89" spans="1:2" x14ac:dyDescent="0.25">
      <c r="A89">
        <v>1967</v>
      </c>
      <c r="B89">
        <v>14</v>
      </c>
    </row>
    <row r="90" spans="1:2" x14ac:dyDescent="0.25">
      <c r="A90">
        <v>1968</v>
      </c>
      <c r="B90">
        <v>13.96</v>
      </c>
    </row>
    <row r="91" spans="1:2" x14ac:dyDescent="0.25">
      <c r="A91">
        <v>1969</v>
      </c>
      <c r="B91">
        <v>14.08</v>
      </c>
    </row>
    <row r="92" spans="1:2" x14ac:dyDescent="0.25">
      <c r="A92">
        <v>1970</v>
      </c>
      <c r="B92">
        <v>14.03</v>
      </c>
    </row>
    <row r="93" spans="1:2" x14ac:dyDescent="0.25">
      <c r="A93">
        <v>1971</v>
      </c>
      <c r="B93">
        <v>13.9</v>
      </c>
    </row>
    <row r="94" spans="1:2" x14ac:dyDescent="0.25">
      <c r="A94">
        <v>1972</v>
      </c>
      <c r="B94">
        <v>14</v>
      </c>
    </row>
    <row r="95" spans="1:2" x14ac:dyDescent="0.25">
      <c r="A95">
        <v>1973</v>
      </c>
      <c r="B95">
        <v>14.14</v>
      </c>
    </row>
    <row r="96" spans="1:2" x14ac:dyDescent="0.25">
      <c r="A96">
        <v>1974</v>
      </c>
      <c r="B96">
        <v>13.92</v>
      </c>
    </row>
    <row r="97" spans="1:2" x14ac:dyDescent="0.25">
      <c r="A97">
        <v>1975</v>
      </c>
      <c r="B97">
        <v>13.95</v>
      </c>
    </row>
    <row r="98" spans="1:2" x14ac:dyDescent="0.25">
      <c r="A98">
        <v>1976</v>
      </c>
      <c r="B98">
        <v>13.84</v>
      </c>
    </row>
    <row r="99" spans="1:2" x14ac:dyDescent="0.25">
      <c r="A99">
        <v>1977</v>
      </c>
      <c r="B99">
        <v>14.13</v>
      </c>
    </row>
    <row r="100" spans="1:2" x14ac:dyDescent="0.25">
      <c r="A100">
        <v>1978</v>
      </c>
      <c r="B100">
        <v>14.02</v>
      </c>
    </row>
    <row r="101" spans="1:2" x14ac:dyDescent="0.25">
      <c r="A101">
        <v>1979</v>
      </c>
      <c r="B101">
        <v>14.09</v>
      </c>
    </row>
    <row r="102" spans="1:2" x14ac:dyDescent="0.25">
      <c r="A102">
        <v>1980</v>
      </c>
      <c r="B102">
        <v>14.18</v>
      </c>
    </row>
    <row r="103" spans="1:2" x14ac:dyDescent="0.25">
      <c r="A103">
        <v>1981</v>
      </c>
      <c r="B103">
        <v>14.26</v>
      </c>
    </row>
    <row r="104" spans="1:2" x14ac:dyDescent="0.25">
      <c r="A104">
        <v>1982</v>
      </c>
      <c r="B104">
        <v>14.05</v>
      </c>
    </row>
    <row r="105" spans="1:2" x14ac:dyDescent="0.25">
      <c r="A105">
        <v>1983</v>
      </c>
      <c r="B105">
        <v>14.26</v>
      </c>
    </row>
    <row r="106" spans="1:2" x14ac:dyDescent="0.25">
      <c r="A106">
        <v>1984</v>
      </c>
      <c r="B106">
        <v>14.09</v>
      </c>
    </row>
    <row r="107" spans="1:2" x14ac:dyDescent="0.25">
      <c r="A107">
        <v>1985</v>
      </c>
      <c r="B107">
        <v>14.05</v>
      </c>
    </row>
    <row r="108" spans="1:2" x14ac:dyDescent="0.25">
      <c r="A108">
        <v>1986</v>
      </c>
      <c r="B108">
        <v>14.12</v>
      </c>
    </row>
    <row r="109" spans="1:2" x14ac:dyDescent="0.25">
      <c r="A109">
        <v>1987</v>
      </c>
      <c r="B109">
        <v>14.26</v>
      </c>
    </row>
    <row r="110" spans="1:2" x14ac:dyDescent="0.25">
      <c r="A110">
        <v>1988</v>
      </c>
      <c r="B110">
        <v>14.31</v>
      </c>
    </row>
    <row r="111" spans="1:2" x14ac:dyDescent="0.25">
      <c r="A111">
        <v>1989</v>
      </c>
      <c r="B111">
        <v>14.2</v>
      </c>
    </row>
    <row r="112" spans="1:2" x14ac:dyDescent="0.25">
      <c r="A112">
        <v>1990</v>
      </c>
      <c r="B112">
        <v>14.38</v>
      </c>
    </row>
    <row r="113" spans="1:2" x14ac:dyDescent="0.25">
      <c r="A113">
        <v>1991</v>
      </c>
      <c r="B113">
        <v>14.35</v>
      </c>
    </row>
    <row r="114" spans="1:2" x14ac:dyDescent="0.25">
      <c r="A114">
        <v>1992</v>
      </c>
      <c r="B114">
        <v>14.12</v>
      </c>
    </row>
    <row r="115" spans="1:2" x14ac:dyDescent="0.25">
      <c r="A115">
        <v>1993</v>
      </c>
      <c r="B115">
        <v>14.14</v>
      </c>
    </row>
    <row r="116" spans="1:2" x14ac:dyDescent="0.25">
      <c r="A116">
        <v>1994</v>
      </c>
      <c r="B116">
        <v>14.23</v>
      </c>
    </row>
    <row r="117" spans="1:2" x14ac:dyDescent="0.25">
      <c r="A117">
        <v>1995</v>
      </c>
      <c r="B117">
        <v>14.38</v>
      </c>
    </row>
    <row r="118" spans="1:2" x14ac:dyDescent="0.25">
      <c r="A118">
        <v>1996</v>
      </c>
      <c r="B118">
        <v>14.29</v>
      </c>
    </row>
    <row r="119" spans="1:2" x14ac:dyDescent="0.25">
      <c r="A119">
        <v>1997</v>
      </c>
      <c r="B119">
        <v>14.39</v>
      </c>
    </row>
    <row r="120" spans="1:2" x14ac:dyDescent="0.25">
      <c r="A120">
        <v>1998</v>
      </c>
      <c r="B120">
        <v>14.57</v>
      </c>
    </row>
    <row r="121" spans="1:2" x14ac:dyDescent="0.25">
      <c r="A121">
        <v>1999</v>
      </c>
      <c r="B121">
        <v>14.32</v>
      </c>
    </row>
    <row r="122" spans="1:2" x14ac:dyDescent="0.25">
      <c r="A122">
        <v>2000</v>
      </c>
      <c r="B122">
        <v>14.33</v>
      </c>
    </row>
    <row r="123" spans="1:2" x14ac:dyDescent="0.25">
      <c r="A123">
        <v>2001</v>
      </c>
      <c r="B123">
        <v>14.48</v>
      </c>
    </row>
    <row r="124" spans="1:2" x14ac:dyDescent="0.25">
      <c r="A124">
        <v>2002</v>
      </c>
      <c r="B124">
        <v>14.56</v>
      </c>
    </row>
    <row r="125" spans="1:2" x14ac:dyDescent="0.25">
      <c r="A125">
        <v>2003</v>
      </c>
      <c r="B125">
        <v>14.55</v>
      </c>
    </row>
    <row r="126" spans="1:2" x14ac:dyDescent="0.25">
      <c r="A126">
        <v>2004</v>
      </c>
      <c r="B126">
        <v>14.48</v>
      </c>
    </row>
    <row r="127" spans="1:2" x14ac:dyDescent="0.25">
      <c r="A127">
        <v>2005</v>
      </c>
      <c r="B127">
        <v>14.62</v>
      </c>
    </row>
    <row r="128" spans="1:2" x14ac:dyDescent="0.25">
      <c r="A128">
        <v>2006</v>
      </c>
      <c r="B128">
        <v>14.54</v>
      </c>
    </row>
    <row r="129" spans="1:2" x14ac:dyDescent="0.25">
      <c r="A129">
        <v>2007</v>
      </c>
      <c r="B129">
        <v>14.56</v>
      </c>
    </row>
    <row r="130" spans="1:2" x14ac:dyDescent="0.25">
      <c r="A130">
        <v>2008</v>
      </c>
      <c r="B130">
        <v>14.44</v>
      </c>
    </row>
    <row r="131" spans="1:2" x14ac:dyDescent="0.25">
      <c r="A131">
        <v>2009</v>
      </c>
      <c r="B131">
        <v>14.63</v>
      </c>
    </row>
    <row r="132" spans="1:2" x14ac:dyDescent="0.25">
      <c r="A132">
        <v>2010</v>
      </c>
      <c r="B132">
        <v>14.76</v>
      </c>
    </row>
    <row r="133" spans="1:2" x14ac:dyDescent="0.25">
      <c r="A133">
        <v>2011</v>
      </c>
      <c r="B133">
        <v>14.6</v>
      </c>
    </row>
    <row r="134" spans="1:2" x14ac:dyDescent="0.25">
      <c r="A134">
        <v>2012</v>
      </c>
      <c r="B134">
        <v>14.64</v>
      </c>
    </row>
    <row r="135" spans="1:2" x14ac:dyDescent="0.25">
      <c r="A135">
        <v>2013</v>
      </c>
      <c r="B135">
        <v>14.73</v>
      </c>
    </row>
    <row r="136" spans="1:2" x14ac:dyDescent="0.25">
      <c r="A136">
        <v>2014</v>
      </c>
      <c r="B136">
        <v>14.78</v>
      </c>
    </row>
    <row r="137" spans="1:2" x14ac:dyDescent="0.25">
      <c r="A137">
        <v>2015</v>
      </c>
      <c r="B137">
        <v>14.87</v>
      </c>
    </row>
    <row r="138" spans="1:2" x14ac:dyDescent="0.25">
      <c r="A138">
        <v>2016</v>
      </c>
      <c r="B138">
        <v>15.02</v>
      </c>
    </row>
    <row r="139" spans="1:2" x14ac:dyDescent="0.25">
      <c r="A139">
        <v>2017</v>
      </c>
      <c r="B139">
        <v>14.91</v>
      </c>
    </row>
    <row r="140" spans="1:2" x14ac:dyDescent="0.25">
      <c r="A140">
        <v>2018</v>
      </c>
      <c r="B140">
        <v>14.88</v>
      </c>
    </row>
    <row r="141" spans="1:2" x14ac:dyDescent="0.25">
      <c r="A141">
        <v>2019</v>
      </c>
      <c r="B141">
        <v>14.93</v>
      </c>
    </row>
    <row r="142" spans="1:2" x14ac:dyDescent="0.25">
      <c r="A142">
        <v>2020</v>
      </c>
      <c r="B142">
        <v>15.05</v>
      </c>
    </row>
    <row r="143" spans="1:2" x14ac:dyDescent="0.25">
      <c r="A143">
        <v>2021</v>
      </c>
      <c r="B143">
        <v>14.91</v>
      </c>
    </row>
    <row r="144" spans="1:2" x14ac:dyDescent="0.25">
      <c r="A144">
        <v>2022</v>
      </c>
      <c r="B144">
        <v>14.98</v>
      </c>
    </row>
    <row r="145" spans="1:2" x14ac:dyDescent="0.25">
      <c r="A145">
        <v>2023</v>
      </c>
      <c r="B145">
        <v>15.01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0B43739A51A1469F04B691F23F0D55" ma:contentTypeVersion="4" ma:contentTypeDescription="Create a new document." ma:contentTypeScope="" ma:versionID="ae40de17af81ad403880fa08ff9e1771">
  <xsd:schema xmlns:xsd="http://www.w3.org/2001/XMLSchema" xmlns:xs="http://www.w3.org/2001/XMLSchema" xmlns:p="http://schemas.microsoft.com/office/2006/metadata/properties" xmlns:ns2="dd8d8732-c6e0-4bc8-82ab-a1ff9572d493" targetNamespace="http://schemas.microsoft.com/office/2006/metadata/properties" ma:root="true" ma:fieldsID="3c36035cf4632ad3537860a505b1c609" ns2:_="">
    <xsd:import namespace="dd8d8732-c6e0-4bc8-82ab-a1ff9572d4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8d8732-c6e0-4bc8-82ab-a1ff9572d4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5879E7-03FA-4DD4-8D69-49056D0E6DA4}">
  <ds:schemaRefs>
    <ds:schemaRef ds:uri="http://schemas.microsoft.com/sharepoint/v3/contenttype/forms"/>
  </ds:schemaRefs>
</ds:datastoreItem>
</file>

<file path=customXml/itemProps2.xml><?xml version="1.0" encoding="utf-8"?>
<ds:datastoreItem xmlns:ds="http://schemas.openxmlformats.org/officeDocument/2006/customXml" ds:itemID="{41640F7A-896B-4406-AC5F-C30A15B6AF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8d8732-c6e0-4bc8-82ab-a1ff9572d4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Task1</vt:lpstr>
      <vt:lpstr>Task2</vt:lpstr>
      <vt:lpstr>GlobalTemp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Anshika, FNU</dc:creator>
  <cp:keywords/>
  <dc:description/>
  <cp:lastModifiedBy>Larry Nguyen</cp:lastModifiedBy>
  <cp:revision/>
  <dcterms:created xsi:type="dcterms:W3CDTF">2024-08-07T00:20:30Z</dcterms:created>
  <dcterms:modified xsi:type="dcterms:W3CDTF">2024-10-24T03:47:23Z</dcterms:modified>
  <cp:category/>
  <cp:contentStatus/>
</cp:coreProperties>
</file>